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anush\Desktop\Real-Time-Crypto-Market-Intelligence-Dashboard\"/>
    </mc:Choice>
  </mc:AlternateContent>
  <xr:revisionPtr revIDLastSave="0" documentId="13_ncr:1_{DA627312-35D2-4EC4-86D5-EFE34AFF533C}" xr6:coauthVersionLast="47" xr6:coauthVersionMax="47" xr10:uidLastSave="{00000000-0000-0000-0000-000000000000}"/>
  <bookViews>
    <workbookView xWindow="-108" yWindow="-108" windowWidth="23256" windowHeight="12456" activeTab="3" xr2:uid="{069C8BF7-5AAC-423E-A03A-D858FF70ACC7}"/>
  </bookViews>
  <sheets>
    <sheet name="Data" sheetId="9" r:id="rId1"/>
    <sheet name="Calculations" sheetId="4" r:id="rId2"/>
    <sheet name="Analysis" sheetId="2" r:id="rId3"/>
    <sheet name="Dashboard" sheetId="3" r:id="rId4"/>
  </sheets>
  <definedNames>
    <definedName name="ExternalData_1" localSheetId="0" hidden="1">Data!$A$1:$F$11</definedName>
    <definedName name="Slicer_Price_Band">#N/A</definedName>
    <definedName name="Slicer_Price_Band_Range">#N/A</definedName>
    <definedName name="Slicer_Price_Movement">#N/A</definedName>
    <definedName name="Slicer_Symbol">#N/A</definedName>
    <definedName name="Slicer_Volume_Category_Rang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2" i="3" l="1"/>
  <c r="L24" i="3"/>
  <c r="P24" i="3"/>
  <c r="R28" i="3"/>
  <c r="R27" i="3"/>
  <c r="R26" i="3"/>
  <c r="R25" i="3"/>
  <c r="R24" i="3"/>
  <c r="Q28" i="3"/>
  <c r="Q27" i="3"/>
  <c r="Q26" i="3"/>
  <c r="Q25" i="3"/>
  <c r="Q24" i="3"/>
  <c r="J21" i="3"/>
  <c r="P28" i="3"/>
  <c r="P27" i="3"/>
  <c r="P26" i="3"/>
  <c r="P25" i="3"/>
  <c r="N28" i="3"/>
  <c r="N27" i="3"/>
  <c r="N26" i="3"/>
  <c r="N25" i="3"/>
  <c r="N24" i="3"/>
  <c r="M28" i="3"/>
  <c r="M27" i="3"/>
  <c r="M26" i="3"/>
  <c r="M25" i="3"/>
  <c r="M24" i="3"/>
  <c r="L28" i="3"/>
  <c r="L27" i="3"/>
  <c r="L26" i="3"/>
  <c r="L25" i="3"/>
  <c r="I21" i="3"/>
  <c r="F30" i="3"/>
  <c r="G21" i="3"/>
  <c r="J22" i="3"/>
  <c r="J23" i="3"/>
  <c r="J24" i="3"/>
  <c r="J25" i="3"/>
  <c r="J26" i="3"/>
  <c r="J27" i="3"/>
  <c r="J28" i="3"/>
  <c r="J29" i="3"/>
  <c r="J30" i="3"/>
  <c r="I22" i="3"/>
  <c r="I23" i="3"/>
  <c r="I24" i="3"/>
  <c r="I25" i="3"/>
  <c r="I26" i="3"/>
  <c r="I27" i="3"/>
  <c r="I28" i="3"/>
  <c r="I29" i="3"/>
  <c r="I30" i="3"/>
  <c r="H22" i="3"/>
  <c r="H23" i="3"/>
  <c r="H24" i="3"/>
  <c r="H25" i="3"/>
  <c r="H26" i="3"/>
  <c r="H27" i="3"/>
  <c r="H28" i="3"/>
  <c r="H29" i="3"/>
  <c r="H30" i="3"/>
  <c r="H21" i="3"/>
  <c r="C22" i="3"/>
  <c r="C23" i="3"/>
  <c r="C24" i="3"/>
  <c r="C25" i="3"/>
  <c r="C26" i="3"/>
  <c r="C27" i="3"/>
  <c r="C28" i="3"/>
  <c r="C29" i="3"/>
  <c r="C30" i="3"/>
  <c r="B22" i="3"/>
  <c r="B23" i="3"/>
  <c r="B24" i="3"/>
  <c r="B25" i="3"/>
  <c r="B26" i="3"/>
  <c r="B27" i="3"/>
  <c r="B28" i="3"/>
  <c r="B29" i="3"/>
  <c r="B30" i="3"/>
  <c r="B21" i="3"/>
  <c r="C21" i="3"/>
  <c r="D22" i="3"/>
  <c r="D23" i="3"/>
  <c r="D24" i="3"/>
  <c r="D25" i="3"/>
  <c r="D26" i="3"/>
  <c r="D27" i="3"/>
  <c r="D28" i="3"/>
  <c r="D29" i="3"/>
  <c r="D30" i="3"/>
  <c r="D21" i="3"/>
  <c r="E30" i="3"/>
  <c r="E22" i="3"/>
  <c r="E23" i="3"/>
  <c r="E24" i="3"/>
  <c r="E25" i="3"/>
  <c r="E26" i="3"/>
  <c r="E27" i="3"/>
  <c r="E28" i="3"/>
  <c r="E29" i="3"/>
  <c r="E21" i="3"/>
  <c r="F22" i="3"/>
  <c r="F23" i="3"/>
  <c r="F24" i="3"/>
  <c r="F25" i="3"/>
  <c r="F26" i="3"/>
  <c r="F27" i="3"/>
  <c r="F28" i="3"/>
  <c r="F29" i="3"/>
  <c r="G22" i="3"/>
  <c r="F21" i="3"/>
  <c r="G23" i="3"/>
  <c r="G24" i="3"/>
  <c r="G25" i="3"/>
  <c r="G26" i="3"/>
  <c r="G27" i="3"/>
  <c r="G28" i="3"/>
  <c r="G29" i="3"/>
  <c r="G30" i="3"/>
  <c r="F2" i="4"/>
  <c r="E2" i="4"/>
  <c r="I2" i="4" s="1"/>
  <c r="G2" i="4"/>
  <c r="G3" i="4"/>
  <c r="A2" i="4"/>
  <c r="A46" i="2"/>
  <c r="I8" i="4"/>
  <c r="I10" i="4"/>
  <c r="G46" i="2"/>
  <c r="B46" i="2"/>
  <c r="F46" i="2"/>
  <c r="C46" i="2"/>
  <c r="F3" i="4"/>
  <c r="F4" i="4"/>
  <c r="F5" i="4"/>
  <c r="F6" i="4"/>
  <c r="F7" i="4"/>
  <c r="F8" i="4"/>
  <c r="F9" i="4"/>
  <c r="F10" i="4"/>
  <c r="F11" i="4"/>
  <c r="E3" i="4"/>
  <c r="I3" i="4" s="1"/>
  <c r="E4" i="4"/>
  <c r="I4" i="4" s="1"/>
  <c r="E5" i="4"/>
  <c r="I5" i="4" s="1"/>
  <c r="E6" i="4"/>
  <c r="I6" i="4" s="1"/>
  <c r="E7" i="4"/>
  <c r="I7" i="4" s="1"/>
  <c r="E8" i="4"/>
  <c r="E9" i="4"/>
  <c r="I9" i="4" s="1"/>
  <c r="E10" i="4"/>
  <c r="E11" i="4"/>
  <c r="I11" i="4" s="1"/>
  <c r="D2" i="4"/>
  <c r="D3" i="4"/>
  <c r="D4" i="4"/>
  <c r="D5" i="4"/>
  <c r="D6" i="4"/>
  <c r="D7" i="4"/>
  <c r="D8" i="4"/>
  <c r="D9" i="4"/>
  <c r="D10" i="4"/>
  <c r="D11" i="4"/>
  <c r="C2" i="4"/>
  <c r="C3" i="4"/>
  <c r="C4" i="4"/>
  <c r="C5" i="4"/>
  <c r="C6" i="4"/>
  <c r="C7" i="4"/>
  <c r="C8" i="4"/>
  <c r="C9" i="4"/>
  <c r="C10" i="4"/>
  <c r="C11" i="4"/>
  <c r="B2" i="4"/>
  <c r="K2" i="4" s="1"/>
  <c r="B3" i="4"/>
  <c r="K3" i="4" s="1"/>
  <c r="B4" i="4"/>
  <c r="K4" i="4" s="1"/>
  <c r="B5" i="4"/>
  <c r="K5" i="4" s="1"/>
  <c r="B6" i="4"/>
  <c r="K6" i="4" s="1"/>
  <c r="B7" i="4"/>
  <c r="K7" i="4" s="1"/>
  <c r="B8" i="4"/>
  <c r="K8" i="4" s="1"/>
  <c r="B9" i="4"/>
  <c r="K9" i="4" s="1"/>
  <c r="B10" i="4"/>
  <c r="K10" i="4" s="1"/>
  <c r="B11" i="4"/>
  <c r="K11" i="4" s="1"/>
  <c r="A3" i="4"/>
  <c r="A4" i="4"/>
  <c r="A5" i="4"/>
  <c r="A6" i="4"/>
  <c r="A7" i="4"/>
  <c r="A8" i="4"/>
  <c r="A9" i="4"/>
  <c r="A10" i="4"/>
  <c r="A11" i="4"/>
  <c r="E46" i="2"/>
  <c r="D46" i="2"/>
  <c r="J3" i="4"/>
  <c r="J4" i="4"/>
  <c r="J5" i="4"/>
  <c r="J6" i="4"/>
  <c r="J7" i="4"/>
  <c r="J8" i="4"/>
  <c r="J9" i="4"/>
  <c r="J10" i="4"/>
  <c r="J11" i="4"/>
  <c r="J2" i="4"/>
  <c r="H3" i="4"/>
  <c r="H4" i="4"/>
  <c r="H5" i="4"/>
  <c r="H6" i="4"/>
  <c r="H7" i="4"/>
  <c r="H8" i="4"/>
  <c r="H9" i="4"/>
  <c r="H10" i="4"/>
  <c r="H11" i="4"/>
  <c r="H2" i="4"/>
  <c r="G4" i="4"/>
  <c r="G5" i="4"/>
  <c r="G6" i="4"/>
  <c r="G7" i="4"/>
  <c r="G8" i="4"/>
  <c r="G9" i="4"/>
  <c r="G10" i="4"/>
  <c r="G11" i="4"/>
  <c r="H46" i="2"/>
  <c r="I4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7D4CA0-170F-4C21-B3F1-DBBD2B38EC6F}"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<sst xmlns="http://schemas.openxmlformats.org/spreadsheetml/2006/main" count="116" uniqueCount="50">
  <si>
    <t>Symbol</t>
  </si>
  <si>
    <t>Price</t>
  </si>
  <si>
    <t>Change</t>
  </si>
  <si>
    <t>Volume</t>
  </si>
  <si>
    <t>AAPL</t>
  </si>
  <si>
    <t>MSFT</t>
  </si>
  <si>
    <t>GOOGL</t>
  </si>
  <si>
    <t>AMZN</t>
  </si>
  <si>
    <t>TSLA</t>
  </si>
  <si>
    <t>META</t>
  </si>
  <si>
    <t>NFLX</t>
  </si>
  <si>
    <t>ASML</t>
  </si>
  <si>
    <t>NVDA</t>
  </si>
  <si>
    <t>AMD</t>
  </si>
  <si>
    <t>Change%</t>
  </si>
  <si>
    <t>Last Updated</t>
  </si>
  <si>
    <t>Price Movement</t>
  </si>
  <si>
    <t>Volume Category</t>
  </si>
  <si>
    <t>Price Band</t>
  </si>
  <si>
    <t>Row Labels</t>
  </si>
  <si>
    <t>Grand Total</t>
  </si>
  <si>
    <t>Sum of Price</t>
  </si>
  <si>
    <t>Sum of Volume</t>
  </si>
  <si>
    <t>Symbols</t>
  </si>
  <si>
    <t>Loss</t>
  </si>
  <si>
    <t>Gain</t>
  </si>
  <si>
    <t>Count of Symbol</t>
  </si>
  <si>
    <t>APIS</t>
  </si>
  <si>
    <t xml:space="preserve">Total Stocks </t>
  </si>
  <si>
    <t>Average Price</t>
  </si>
  <si>
    <t>Highest Price</t>
  </si>
  <si>
    <t>Lowest Price</t>
  </si>
  <si>
    <t>Average Change %</t>
  </si>
  <si>
    <t>Total Volume</t>
  </si>
  <si>
    <t>Normal</t>
  </si>
  <si>
    <t>High</t>
  </si>
  <si>
    <t>Medium</t>
  </si>
  <si>
    <t>Very High</t>
  </si>
  <si>
    <t>Low</t>
  </si>
  <si>
    <t>Sum of Change%</t>
  </si>
  <si>
    <t>Average of Volume</t>
  </si>
  <si>
    <t>Average Change</t>
  </si>
  <si>
    <t>Gainers</t>
  </si>
  <si>
    <t>Losers</t>
  </si>
  <si>
    <t>Price Band Range</t>
  </si>
  <si>
    <t>Volume Category Range</t>
  </si>
  <si>
    <t>Performance</t>
  </si>
  <si>
    <t>Price Range</t>
  </si>
  <si>
    <t>Volume Range</t>
  </si>
  <si>
    <t>Lat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</si>
</sst>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09]\ #,##0.00"/>
    <numFmt numFmtId="165" formatCode="dd\-mmm\-yyyy\ hh:mm"/>
    <numFmt numFmtId="166" formatCode="yyyy\-mm\-dd\ hh:mm:ss"/>
  </numFmts>
  <fonts count="10" x14ac:knownFonts="1">
    <font>
      <sz val="11"/>
      <color theme="1"/>
      <name val="Calibri"/>
      <family val="2"/>
      <scheme val="minor"/>
    </font>
    <font>
      <b/>
      <sz val="11"/>
      <color theme="0"/>
      <name val="Calibri"/>
      <family val="2"/>
      <scheme val="minor"/>
    </font>
    <font>
      <sz val="11"/>
      <color theme="9" tint="-0.249977111117893"/>
      <name val="Calibri"/>
      <family val="2"/>
      <scheme val="minor"/>
    </font>
    <font>
      <sz val="16"/>
      <color rgb="FFF8F8F8"/>
      <name val="Calibri"/>
      <family val="2"/>
      <scheme val="minor"/>
    </font>
    <font>
      <sz val="11"/>
      <color theme="1"/>
      <name val="Calibri"/>
      <family val="2"/>
      <scheme val="minor"/>
    </font>
    <font>
      <sz val="14"/>
      <color theme="1"/>
      <name val="Calibri"/>
      <family val="2"/>
      <scheme val="minor"/>
    </font>
    <font>
      <b/>
      <sz val="14"/>
      <color rgb="FFF8F8F8"/>
      <name val="Arial Black"/>
      <family val="2"/>
    </font>
    <font>
      <b/>
      <sz val="14"/>
      <color theme="1"/>
      <name val="Calibri"/>
      <family val="2"/>
      <scheme val="minor"/>
    </font>
    <font>
      <b/>
      <sz val="11"/>
      <color theme="1"/>
      <name val="Arial Black"/>
      <family val="2"/>
    </font>
    <font>
      <sz val="20"/>
      <color rgb="FFF8F8F8"/>
      <name val="Calibri"/>
      <family val="2"/>
      <scheme val="minor"/>
    </font>
  </fonts>
  <fills count="8">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5F5F5F"/>
        <bgColor indexed="64"/>
      </patternFill>
    </fill>
    <fill>
      <patternFill patternType="solid">
        <fgColor theme="0"/>
        <bgColor indexed="64"/>
      </patternFill>
    </fill>
    <fill>
      <patternFill patternType="solid">
        <fgColor theme="9" tint="-0.249977111117893"/>
        <bgColor indexed="64"/>
      </patternFill>
    </fill>
    <fill>
      <patternFill patternType="solid">
        <fgColor theme="6"/>
        <bgColor indexed="64"/>
      </patternFill>
    </fill>
  </fills>
  <borders count="8">
    <border>
      <left/>
      <right/>
      <top/>
      <bottom/>
      <diagonal/>
    </border>
    <border>
      <left/>
      <right/>
      <top style="thin">
        <color theme="4" tint="0.39997558519241921"/>
      </top>
      <bottom style="thin">
        <color theme="4" tint="0.3999755851924192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s>
  <cellStyleXfs count="2">
    <xf numFmtId="0" fontId="0" fillId="0" borderId="0"/>
    <xf numFmtId="9" fontId="4" fillId="0" borderId="0" applyFont="0" applyFill="0" applyBorder="0" applyAlignment="0" applyProtection="0"/>
  </cellStyleXfs>
  <cellXfs count="35">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4" borderId="0" xfId="0" applyFont="1" applyFill="1"/>
    <xf numFmtId="0" fontId="0" fillId="4" borderId="0" xfId="0" applyFill="1"/>
    <xf numFmtId="0" fontId="2" fillId="5" borderId="0" xfId="0" applyFont="1" applyFill="1"/>
    <xf numFmtId="0" fontId="0" fillId="5" borderId="0" xfId="0" applyFill="1"/>
    <xf numFmtId="164" fontId="0" fillId="0" borderId="0" xfId="0" applyNumberFormat="1"/>
    <xf numFmtId="4" fontId="0" fillId="0" borderId="0" xfId="0" applyNumberFormat="1"/>
    <xf numFmtId="165" fontId="3" fillId="4" borderId="0" xfId="0" applyNumberFormat="1" applyFont="1" applyFill="1"/>
    <xf numFmtId="0" fontId="1" fillId="2" borderId="1" xfId="0" applyFont="1" applyFill="1" applyBorder="1"/>
    <xf numFmtId="0" fontId="0" fillId="3" borderId="1" xfId="0" applyFill="1" applyBorder="1"/>
    <xf numFmtId="0" fontId="0" fillId="0" borderId="1" xfId="0" applyBorder="1"/>
    <xf numFmtId="14" fontId="9" fillId="4" borderId="0" xfId="0" applyNumberFormat="1" applyFont="1" applyFill="1"/>
    <xf numFmtId="9" fontId="0" fillId="0" borderId="0" xfId="1" applyFont="1"/>
    <xf numFmtId="0" fontId="0" fillId="0" borderId="0" xfId="1" applyNumberFormat="1" applyFont="1"/>
    <xf numFmtId="0" fontId="8" fillId="7" borderId="0" xfId="0" applyFont="1" applyFill="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0" xfId="0" applyAlignment="1">
      <alignment vertical="center"/>
    </xf>
    <xf numFmtId="0" fontId="7" fillId="0" borderId="2" xfId="0" applyFont="1" applyBorder="1" applyAlignment="1">
      <alignment horizontal="center" vertical="center"/>
    </xf>
    <xf numFmtId="0" fontId="5" fillId="0" borderId="2" xfId="0" applyFont="1" applyBorder="1" applyAlignment="1">
      <alignment horizontal="center" vertical="center"/>
    </xf>
    <xf numFmtId="0" fontId="7" fillId="5" borderId="2" xfId="0" applyFont="1" applyFill="1" applyBorder="1" applyAlignment="1">
      <alignment horizontal="center" vertical="center"/>
    </xf>
    <xf numFmtId="14" fontId="5" fillId="0" borderId="2" xfId="0" applyNumberFormat="1" applyFont="1" applyBorder="1" applyAlignment="1">
      <alignment horizontal="center" vertical="center"/>
    </xf>
    <xf numFmtId="0" fontId="7" fillId="0" borderId="3" xfId="0" applyFont="1" applyBorder="1" applyAlignment="1">
      <alignment horizontal="center" vertical="center"/>
    </xf>
    <xf numFmtId="0" fontId="5" fillId="0" borderId="3" xfId="0" applyFont="1" applyBorder="1" applyAlignment="1">
      <alignment horizontal="center" vertical="center"/>
    </xf>
    <xf numFmtId="0" fontId="7" fillId="5" borderId="3" xfId="0" applyFont="1" applyFill="1" applyBorder="1" applyAlignment="1">
      <alignment horizontal="center" vertical="center"/>
    </xf>
    <xf numFmtId="14" fontId="5" fillId="0" borderId="3" xfId="0" applyNumberFormat="1" applyFont="1" applyBorder="1" applyAlignment="1">
      <alignment horizontal="center" vertical="center"/>
    </xf>
    <xf numFmtId="0" fontId="7" fillId="0" borderId="4" xfId="0" applyFont="1" applyBorder="1" applyAlignment="1">
      <alignment horizontal="center" vertical="center"/>
    </xf>
    <xf numFmtId="0" fontId="5" fillId="0" borderId="4" xfId="0" applyFont="1" applyBorder="1" applyAlignment="1">
      <alignment horizontal="center" vertical="center"/>
    </xf>
    <xf numFmtId="14" fontId="5" fillId="0" borderId="4" xfId="0" applyNumberFormat="1" applyFont="1" applyBorder="1" applyAlignment="1">
      <alignment horizontal="center" vertical="center"/>
    </xf>
    <xf numFmtId="0" fontId="6" fillId="6" borderId="0" xfId="0" applyFont="1" applyFill="1" applyAlignment="1">
      <alignment horizontal="center" vertical="center"/>
    </xf>
    <xf numFmtId="166" fontId="2" fillId="4" borderId="0" xfId="0" applyNumberFormat="1" applyFont="1" applyFill="1"/>
  </cellXfs>
  <cellStyles count="2">
    <cellStyle name="Normal" xfId="0" builtinId="0"/>
    <cellStyle name="Percent" xfId="1" builtinId="5"/>
  </cellStyles>
  <dxfs count="11">
    <dxf>
      <font>
        <color rgb="FFFF0000"/>
      </font>
    </dxf>
    <dxf>
      <font>
        <color rgb="FF006600"/>
      </font>
    </dxf>
    <dxf>
      <font>
        <color theme="7"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m/d/yyyy"/>
    </dxf>
    <dxf>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numFmt numFmtId="19" formatCode="m/d/yyyy"/>
    </dxf>
    <dxf>
      <numFmt numFmtId="0" formatCode="General"/>
    </dxf>
  </dxfs>
  <tableStyles count="0" defaultTableStyle="TableStyleMedium2" defaultPivotStyle="PivotStyleLight16"/>
  <colors>
    <mruColors>
      <color rgb="FF000000"/>
      <color rgb="FF5F5F5F"/>
      <color rgb="FF006600"/>
      <color rgb="FFF8F8F8"/>
      <color rgb="FF008000"/>
      <color rgb="FF0000CC"/>
      <color rgb="FFFF66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Comparison</a:t>
            </a:r>
          </a:p>
        </c:rich>
      </c:tx>
      <c:layout>
        <c:manualLayout>
          <c:xMode val="edge"/>
          <c:yMode val="edge"/>
          <c:x val="0.3533126664128528"/>
          <c:y val="9.66121624299212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58092738407699"/>
          <c:y val="0.17857880830222858"/>
          <c:w val="0.8639004811898513"/>
          <c:h val="0.62707940401922124"/>
        </c:manualLayout>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cat>
            <c:strRef>
              <c:f>Analysis!$A$2:$A$12</c:f>
              <c:strCache>
                <c:ptCount val="10"/>
                <c:pt idx="0">
                  <c:v>AAPL</c:v>
                </c:pt>
                <c:pt idx="1">
                  <c:v>AMD</c:v>
                </c:pt>
                <c:pt idx="2">
                  <c:v>AMZN</c:v>
                </c:pt>
                <c:pt idx="3">
                  <c:v>ASML</c:v>
                </c:pt>
                <c:pt idx="4">
                  <c:v>GOOGL</c:v>
                </c:pt>
                <c:pt idx="5">
                  <c:v>META</c:v>
                </c:pt>
                <c:pt idx="6">
                  <c:v>MSFT</c:v>
                </c:pt>
                <c:pt idx="7">
                  <c:v>NFLX</c:v>
                </c:pt>
                <c:pt idx="8">
                  <c:v>NVDA</c:v>
                </c:pt>
                <c:pt idx="9">
                  <c:v>TSLA</c:v>
                </c:pt>
              </c:strCache>
            </c:strRef>
          </c:cat>
          <c:val>
            <c:numRef>
              <c:f>Analysis!$B$2:$B$12</c:f>
              <c:numCache>
                <c:formatCode>General</c:formatCode>
                <c:ptCount val="10"/>
                <c:pt idx="0">
                  <c:v>325.89</c:v>
                </c:pt>
                <c:pt idx="1">
                  <c:v>552.33000000000004</c:v>
                </c:pt>
                <c:pt idx="2">
                  <c:v>244.85</c:v>
                </c:pt>
                <c:pt idx="3">
                  <c:v>1801.86</c:v>
                </c:pt>
                <c:pt idx="4">
                  <c:v>342.09</c:v>
                </c:pt>
                <c:pt idx="5">
                  <c:v>627.16999999999996</c:v>
                </c:pt>
                <c:pt idx="6">
                  <c:v>390.34</c:v>
                </c:pt>
                <c:pt idx="7">
                  <c:v>68.53</c:v>
                </c:pt>
                <c:pt idx="8">
                  <c:v>212.06</c:v>
                </c:pt>
                <c:pt idx="9">
                  <c:v>374.01</c:v>
                </c:pt>
              </c:numCache>
            </c:numRef>
          </c:val>
          <c:extLst>
            <c:ext xmlns:c16="http://schemas.microsoft.com/office/drawing/2014/chart" uri="{C3380CC4-5D6E-409C-BE32-E72D297353CC}">
              <c16:uniqueId val="{00000000-11BD-4561-89A4-59EEA8A4ECDD}"/>
            </c:ext>
          </c:extLst>
        </c:ser>
        <c:dLbls>
          <c:showLegendKey val="0"/>
          <c:showVal val="0"/>
          <c:showCatName val="0"/>
          <c:showSerName val="0"/>
          <c:showPercent val="0"/>
          <c:showBubbleSize val="0"/>
        </c:dLbls>
        <c:gapWidth val="219"/>
        <c:overlap val="-27"/>
        <c:axId val="1171806752"/>
        <c:axId val="1171812032"/>
      </c:barChart>
      <c:catAx>
        <c:axId val="117180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12032"/>
        <c:crosses val="autoZero"/>
        <c:auto val="1"/>
        <c:lblAlgn val="ctr"/>
        <c:lblOffset val="100"/>
        <c:noMultiLvlLbl val="0"/>
      </c:catAx>
      <c:valAx>
        <c:axId val="1171812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0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Gain vs Loss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57-4461-B190-5B75EE388E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57-4461-B190-5B75EE388E04}"/>
              </c:ext>
            </c:extLst>
          </c:dPt>
          <c:cat>
            <c:strRef>
              <c:f>Analysis!$A$16:$A$18</c:f>
              <c:strCache>
                <c:ptCount val="2"/>
                <c:pt idx="0">
                  <c:v>Gain</c:v>
                </c:pt>
                <c:pt idx="1">
                  <c:v>Loss</c:v>
                </c:pt>
              </c:strCache>
            </c:strRef>
          </c:cat>
          <c:val>
            <c:numRef>
              <c:f>Analysis!$B$16:$B$18</c:f>
              <c:numCache>
                <c:formatCode>General</c:formatCode>
                <c:ptCount val="2"/>
                <c:pt idx="0">
                  <c:v>3</c:v>
                </c:pt>
                <c:pt idx="1">
                  <c:v>7</c:v>
                </c:pt>
              </c:numCache>
            </c:numRef>
          </c:val>
          <c:extLst>
            <c:ext xmlns:c16="http://schemas.microsoft.com/office/drawing/2014/chart" uri="{C3380CC4-5D6E-409C-BE32-E72D297353CC}">
              <c16:uniqueId val="{00000002-20A1-40E8-B808-3C9C328BC8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Volume Range Distributer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Analysis!$A$25:$A$27</c:f>
              <c:strCache>
                <c:ptCount val="2"/>
                <c:pt idx="0">
                  <c:v>High</c:v>
                </c:pt>
                <c:pt idx="1">
                  <c:v>Normal</c:v>
                </c:pt>
              </c:strCache>
            </c:strRef>
          </c:cat>
          <c:val>
            <c:numRef>
              <c:f>Analysis!$B$25:$B$27</c:f>
              <c:numCache>
                <c:formatCode>General</c:formatCode>
                <c:ptCount val="2"/>
                <c:pt idx="0">
                  <c:v>137645596</c:v>
                </c:pt>
                <c:pt idx="1">
                  <c:v>28082484.111111112</c:v>
                </c:pt>
              </c:numCache>
            </c:numRef>
          </c:val>
          <c:extLst>
            <c:ext xmlns:c16="http://schemas.microsoft.com/office/drawing/2014/chart" uri="{C3380CC4-5D6E-409C-BE32-E72D297353CC}">
              <c16:uniqueId val="{00000000-9EF1-4707-AB22-65A9E304CA37}"/>
            </c:ext>
          </c:extLst>
        </c:ser>
        <c:dLbls>
          <c:showLegendKey val="0"/>
          <c:showVal val="0"/>
          <c:showCatName val="0"/>
          <c:showSerName val="0"/>
          <c:showPercent val="0"/>
          <c:showBubbleSize val="0"/>
        </c:dLbls>
        <c:axId val="894352080"/>
        <c:axId val="894351120"/>
      </c:areaChart>
      <c:catAx>
        <c:axId val="894352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51120"/>
        <c:crosses val="autoZero"/>
        <c:auto val="1"/>
        <c:lblAlgn val="ctr"/>
        <c:lblOffset val="100"/>
        <c:noMultiLvlLbl val="0"/>
      </c:catAx>
      <c:valAx>
        <c:axId val="89435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520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a:t>
            </a:r>
            <a:r>
              <a:rPr lang="en-US" baseline="0"/>
              <a:t> Analysis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444139171319327E-2"/>
          <c:y val="0.2801142373598477"/>
          <c:w val="0.79866052441183066"/>
          <c:h val="0.5401136854885441"/>
        </c:manualLayout>
      </c:layout>
      <c:barChart>
        <c:barDir val="col"/>
        <c:grouping val="clustered"/>
        <c:varyColors val="0"/>
        <c:ser>
          <c:idx val="0"/>
          <c:order val="0"/>
          <c:tx>
            <c:strRef>
              <c:f>Analysis!$L$29</c:f>
              <c:strCache>
                <c:ptCount val="1"/>
                <c:pt idx="0">
                  <c:v>Total</c:v>
                </c:pt>
              </c:strCache>
            </c:strRef>
          </c:tx>
          <c:spPr>
            <a:solidFill>
              <a:schemeClr val="accent1"/>
            </a:solidFill>
            <a:ln>
              <a:noFill/>
            </a:ln>
            <a:effectLst/>
          </c:spPr>
          <c:invertIfNegative val="0"/>
          <c:cat>
            <c:strRef>
              <c:f>Analysis!$K$30:$K$40</c:f>
              <c:strCache>
                <c:ptCount val="10"/>
                <c:pt idx="0">
                  <c:v>AAPL</c:v>
                </c:pt>
                <c:pt idx="1">
                  <c:v>AMD</c:v>
                </c:pt>
                <c:pt idx="2">
                  <c:v>AMZN</c:v>
                </c:pt>
                <c:pt idx="3">
                  <c:v>ASML</c:v>
                </c:pt>
                <c:pt idx="4">
                  <c:v>GOOGL</c:v>
                </c:pt>
                <c:pt idx="5">
                  <c:v>META</c:v>
                </c:pt>
                <c:pt idx="6">
                  <c:v>MSFT</c:v>
                </c:pt>
                <c:pt idx="7">
                  <c:v>NFLX</c:v>
                </c:pt>
                <c:pt idx="8">
                  <c:v>NVDA</c:v>
                </c:pt>
                <c:pt idx="9">
                  <c:v>TSLA</c:v>
                </c:pt>
              </c:strCache>
            </c:strRef>
          </c:cat>
          <c:val>
            <c:numRef>
              <c:f>Analysis!$L$30:$L$40</c:f>
              <c:numCache>
                <c:formatCode>General</c:formatCode>
                <c:ptCount val="10"/>
                <c:pt idx="0">
                  <c:v>-0.5645</c:v>
                </c:pt>
                <c:pt idx="1">
                  <c:v>1.4511000000000001</c:v>
                </c:pt>
                <c:pt idx="2">
                  <c:v>-1.0907</c:v>
                </c:pt>
                <c:pt idx="3">
                  <c:v>1.9400000000000001E-2</c:v>
                </c:pt>
                <c:pt idx="4">
                  <c:v>-1.4576</c:v>
                </c:pt>
                <c:pt idx="5">
                  <c:v>-2.5846</c:v>
                </c:pt>
                <c:pt idx="6">
                  <c:v>-1.863</c:v>
                </c:pt>
                <c:pt idx="7">
                  <c:v>-0.2039</c:v>
                </c:pt>
                <c:pt idx="8">
                  <c:v>2.3010999999999999</c:v>
                </c:pt>
                <c:pt idx="9">
                  <c:v>-1.2984</c:v>
                </c:pt>
              </c:numCache>
            </c:numRef>
          </c:val>
          <c:extLst>
            <c:ext xmlns:c16="http://schemas.microsoft.com/office/drawing/2014/chart" uri="{C3380CC4-5D6E-409C-BE32-E72D297353CC}">
              <c16:uniqueId val="{00000000-50FB-4D17-A53F-A04F845846B7}"/>
            </c:ext>
          </c:extLst>
        </c:ser>
        <c:dLbls>
          <c:showLegendKey val="0"/>
          <c:showVal val="0"/>
          <c:showCatName val="0"/>
          <c:showSerName val="0"/>
          <c:showPercent val="0"/>
          <c:showBubbleSize val="0"/>
        </c:dLbls>
        <c:gapWidth val="219"/>
        <c:overlap val="-27"/>
        <c:axId val="894333840"/>
        <c:axId val="894342960"/>
      </c:barChart>
      <c:catAx>
        <c:axId val="89433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42960"/>
        <c:crosses val="autoZero"/>
        <c:auto val="1"/>
        <c:lblAlgn val="ctr"/>
        <c:lblOffset val="100"/>
        <c:noMultiLvlLbl val="0"/>
      </c:catAx>
      <c:valAx>
        <c:axId val="894342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3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c:f>
              <c:strCache>
                <c:ptCount val="1"/>
                <c:pt idx="0">
                  <c:v>Total</c:v>
                </c:pt>
              </c:strCache>
            </c:strRef>
          </c:tx>
          <c:spPr>
            <a:solidFill>
              <a:schemeClr val="accent1"/>
            </a:solidFill>
            <a:ln>
              <a:noFill/>
            </a:ln>
            <a:effectLst/>
          </c:spPr>
          <c:invertIfNegative val="0"/>
          <c:cat>
            <c:strRef>
              <c:f>Analysis!$K$2:$K$12</c:f>
              <c:strCache>
                <c:ptCount val="10"/>
                <c:pt idx="0">
                  <c:v>AAPL</c:v>
                </c:pt>
                <c:pt idx="1">
                  <c:v>AMD</c:v>
                </c:pt>
                <c:pt idx="2">
                  <c:v>AMZN</c:v>
                </c:pt>
                <c:pt idx="3">
                  <c:v>ASML</c:v>
                </c:pt>
                <c:pt idx="4">
                  <c:v>GOOGL</c:v>
                </c:pt>
                <c:pt idx="5">
                  <c:v>META</c:v>
                </c:pt>
                <c:pt idx="6">
                  <c:v>MSFT</c:v>
                </c:pt>
                <c:pt idx="7">
                  <c:v>NFLX</c:v>
                </c:pt>
                <c:pt idx="8">
                  <c:v>NVDA</c:v>
                </c:pt>
                <c:pt idx="9">
                  <c:v>TSLA</c:v>
                </c:pt>
              </c:strCache>
            </c:strRef>
          </c:cat>
          <c:val>
            <c:numRef>
              <c:f>Analysis!$L$2:$L$12</c:f>
              <c:numCache>
                <c:formatCode>General</c:formatCode>
                <c:ptCount val="10"/>
                <c:pt idx="0">
                  <c:v>38755929</c:v>
                </c:pt>
                <c:pt idx="1">
                  <c:v>24776665</c:v>
                </c:pt>
                <c:pt idx="2">
                  <c:v>34112732</c:v>
                </c:pt>
                <c:pt idx="3">
                  <c:v>1007366</c:v>
                </c:pt>
                <c:pt idx="4">
                  <c:v>39334140</c:v>
                </c:pt>
                <c:pt idx="5">
                  <c:v>11019559</c:v>
                </c:pt>
                <c:pt idx="6">
                  <c:v>28142511</c:v>
                </c:pt>
                <c:pt idx="7">
                  <c:v>44947331</c:v>
                </c:pt>
                <c:pt idx="8">
                  <c:v>137645596</c:v>
                </c:pt>
                <c:pt idx="9">
                  <c:v>30646124</c:v>
                </c:pt>
              </c:numCache>
            </c:numRef>
          </c:val>
          <c:extLst>
            <c:ext xmlns:c16="http://schemas.microsoft.com/office/drawing/2014/chart" uri="{C3380CC4-5D6E-409C-BE32-E72D297353CC}">
              <c16:uniqueId val="{00000000-A30F-4FF0-A77C-5270EDAD5D5F}"/>
            </c:ext>
          </c:extLst>
        </c:ser>
        <c:dLbls>
          <c:showLegendKey val="0"/>
          <c:showVal val="0"/>
          <c:showCatName val="0"/>
          <c:showSerName val="0"/>
          <c:showPercent val="0"/>
          <c:showBubbleSize val="0"/>
        </c:dLbls>
        <c:gapWidth val="182"/>
        <c:axId val="70943519"/>
        <c:axId val="70952639"/>
      </c:barChart>
      <c:catAx>
        <c:axId val="7094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52639"/>
        <c:crosses val="autoZero"/>
        <c:auto val="1"/>
        <c:lblAlgn val="ctr"/>
        <c:lblOffset val="100"/>
        <c:noMultiLvlLbl val="0"/>
      </c:catAx>
      <c:valAx>
        <c:axId val="70952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Range Distributer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Analysis!$L$15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5A-4457-8211-C10A0DED59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5A-4457-8211-C10A0DED59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5A-4457-8211-C10A0DED59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5A-4457-8211-C10A0DED593D}"/>
              </c:ext>
            </c:extLst>
          </c:dPt>
          <c:cat>
            <c:strRef>
              <c:f>Analysis!$K$16:$K$20</c:f>
              <c:strCache>
                <c:ptCount val="4"/>
                <c:pt idx="0">
                  <c:v>High</c:v>
                </c:pt>
                <c:pt idx="1">
                  <c:v>Low</c:v>
                </c:pt>
                <c:pt idx="2">
                  <c:v>Medium</c:v>
                </c:pt>
                <c:pt idx="3">
                  <c:v>Very High</c:v>
                </c:pt>
              </c:strCache>
            </c:strRef>
          </c:cat>
          <c:val>
            <c:numRef>
              <c:f>Analysis!$L$16:$L$20</c:f>
              <c:numCache>
                <c:formatCode>General</c:formatCode>
                <c:ptCount val="4"/>
                <c:pt idx="0">
                  <c:v>1179.5</c:v>
                </c:pt>
                <c:pt idx="1">
                  <c:v>68.53</c:v>
                </c:pt>
                <c:pt idx="2">
                  <c:v>1889.2399999999998</c:v>
                </c:pt>
                <c:pt idx="3">
                  <c:v>1801.86</c:v>
                </c:pt>
              </c:numCache>
            </c:numRef>
          </c:val>
          <c:extLst>
            <c:ext xmlns:c16="http://schemas.microsoft.com/office/drawing/2014/chart" uri="{C3380CC4-5D6E-409C-BE32-E72D297353CC}">
              <c16:uniqueId val="{00000000-6B4C-4272-98D7-CA6C4EBE5B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c:name>
    <c:fmtId val="2"/>
  </c:pivotSource>
  <c:chart>
    <c:title>
      <c:tx>
        <c:rich>
          <a:bodyPr rot="0" spcFirstLastPara="1" vertOverflow="ellipsis" vert="horz" wrap="square" anchor="ctr" anchorCtr="1"/>
          <a:lstStyle/>
          <a:p>
            <a:pPr>
              <a:defRPr sz="2000" b="1" i="0" u="none" strike="noStrike" kern="1200" cap="all" spc="150" baseline="0">
                <a:solidFill>
                  <a:schemeClr val="tx1">
                    <a:lumMod val="50000"/>
                    <a:lumOff val="50000"/>
                  </a:schemeClr>
                </a:solidFill>
                <a:latin typeface="+mn-lt"/>
                <a:ea typeface="+mn-ea"/>
                <a:cs typeface="+mn-cs"/>
              </a:defRPr>
            </a:pPr>
            <a:r>
              <a:rPr lang="en-US" sz="2000">
                <a:solidFill>
                  <a:schemeClr val="bg1">
                    <a:lumMod val="50000"/>
                  </a:schemeClr>
                </a:solidFill>
                <a:latin typeface="Arial Black" panose="020B0A04020102020204" pitchFamily="34" charset="0"/>
              </a:rPr>
              <a:t>Price Comparison</a:t>
            </a:r>
          </a:p>
        </c:rich>
      </c:tx>
      <c:layout>
        <c:manualLayout>
          <c:xMode val="edge"/>
          <c:yMode val="edge"/>
          <c:x val="0.19822580080609445"/>
          <c:y val="2.3418915769400701E-2"/>
        </c:manualLayout>
      </c:layout>
      <c:overlay val="0"/>
      <c:spPr>
        <a:noFill/>
        <a:ln>
          <a:noFill/>
        </a:ln>
        <a:effectLst/>
      </c:spPr>
      <c:txPr>
        <a:bodyPr rot="0" spcFirstLastPara="1" vertOverflow="ellipsis" vert="horz" wrap="square" anchor="ctr" anchorCtr="1"/>
        <a:lstStyle/>
        <a:p>
          <a:pPr>
            <a:defRPr sz="20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58092738407699"/>
          <c:y val="0.17857880830222858"/>
          <c:w val="0.8639004811898513"/>
          <c:h val="0.62707940401922124"/>
        </c:manualLayout>
      </c:layout>
      <c:barChart>
        <c:barDir val="col"/>
        <c:grouping val="clustered"/>
        <c:varyColors val="0"/>
        <c:ser>
          <c:idx val="0"/>
          <c:order val="0"/>
          <c:tx>
            <c:strRef>
              <c:f>Analysis!$B$1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Analysis!$A$2:$A$12</c:f>
              <c:strCache>
                <c:ptCount val="10"/>
                <c:pt idx="0">
                  <c:v>AAPL</c:v>
                </c:pt>
                <c:pt idx="1">
                  <c:v>AMD</c:v>
                </c:pt>
                <c:pt idx="2">
                  <c:v>AMZN</c:v>
                </c:pt>
                <c:pt idx="3">
                  <c:v>ASML</c:v>
                </c:pt>
                <c:pt idx="4">
                  <c:v>GOOGL</c:v>
                </c:pt>
                <c:pt idx="5">
                  <c:v>META</c:v>
                </c:pt>
                <c:pt idx="6">
                  <c:v>MSFT</c:v>
                </c:pt>
                <c:pt idx="7">
                  <c:v>NFLX</c:v>
                </c:pt>
                <c:pt idx="8">
                  <c:v>NVDA</c:v>
                </c:pt>
                <c:pt idx="9">
                  <c:v>TSLA</c:v>
                </c:pt>
              </c:strCache>
            </c:strRef>
          </c:cat>
          <c:val>
            <c:numRef>
              <c:f>Analysis!$B$2:$B$12</c:f>
              <c:numCache>
                <c:formatCode>General</c:formatCode>
                <c:ptCount val="10"/>
                <c:pt idx="0">
                  <c:v>325.89</c:v>
                </c:pt>
                <c:pt idx="1">
                  <c:v>552.33000000000004</c:v>
                </c:pt>
                <c:pt idx="2">
                  <c:v>244.85</c:v>
                </c:pt>
                <c:pt idx="3">
                  <c:v>1801.86</c:v>
                </c:pt>
                <c:pt idx="4">
                  <c:v>342.09</c:v>
                </c:pt>
                <c:pt idx="5">
                  <c:v>627.16999999999996</c:v>
                </c:pt>
                <c:pt idx="6">
                  <c:v>390.34</c:v>
                </c:pt>
                <c:pt idx="7">
                  <c:v>68.53</c:v>
                </c:pt>
                <c:pt idx="8">
                  <c:v>212.06</c:v>
                </c:pt>
                <c:pt idx="9">
                  <c:v>374.01</c:v>
                </c:pt>
              </c:numCache>
            </c:numRef>
          </c:val>
          <c:extLst>
            <c:ext xmlns:c16="http://schemas.microsoft.com/office/drawing/2014/chart" uri="{C3380CC4-5D6E-409C-BE32-E72D297353CC}">
              <c16:uniqueId val="{00000000-DD3C-4C30-B514-7E97355560FF}"/>
            </c:ext>
          </c:extLst>
        </c:ser>
        <c:dLbls>
          <c:showLegendKey val="0"/>
          <c:showVal val="0"/>
          <c:showCatName val="0"/>
          <c:showSerName val="0"/>
          <c:showPercent val="0"/>
          <c:showBubbleSize val="0"/>
        </c:dLbls>
        <c:gapWidth val="164"/>
        <c:overlap val="-22"/>
        <c:axId val="1171806752"/>
        <c:axId val="1171812032"/>
      </c:barChart>
      <c:catAx>
        <c:axId val="11718067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12032"/>
        <c:crosses val="autoZero"/>
        <c:auto val="1"/>
        <c:lblAlgn val="ctr"/>
        <c:lblOffset val="100"/>
        <c:noMultiLvlLbl val="0"/>
      </c:catAx>
      <c:valAx>
        <c:axId val="1171812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0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[dashboard.xlsx]Analysis!PivotTable17</c:name>
    <c:fmtId val="4"/>
  </c:pivotSource>
  <c:chart>
    <c:title>
      <c:tx>
        <c:rich>
          <a:bodyPr rot="0" spcFirstLastPara="1" vertOverflow="ellipsis" vert="horz" wrap="square" anchor="ctr" anchorCtr="1"/>
          <a:lstStyle/>
          <a:p>
            <a:pPr>
              <a:defRPr sz="2000" b="1" i="0" u="none" strike="noStrike" kern="1200" cap="all" spc="120" normalizeH="0" baseline="0">
                <a:solidFill>
                  <a:schemeClr val="tx1">
                    <a:lumMod val="65000"/>
                    <a:lumOff val="35000"/>
                  </a:schemeClr>
                </a:solidFill>
                <a:latin typeface="+mn-lt"/>
                <a:ea typeface="+mn-ea"/>
                <a:cs typeface="+mn-cs"/>
              </a:defRPr>
            </a:pPr>
            <a:r>
              <a:rPr lang="en-US" sz="2000">
                <a:solidFill>
                  <a:schemeClr val="bg1">
                    <a:lumMod val="50000"/>
                  </a:schemeClr>
                </a:solidFill>
                <a:latin typeface="Arial Black" panose="020B0A04020102020204" pitchFamily="34" charset="0"/>
              </a:rPr>
              <a:t>Change% Analysis</a:t>
            </a:r>
          </a:p>
          <a:p>
            <a:pPr>
              <a:defRPr sz="2000"/>
            </a:pPr>
            <a:endParaRPr lang="en-US" sz="2000">
              <a:solidFill>
                <a:schemeClr val="bg1">
                  <a:lumMod val="50000"/>
                </a:schemeClr>
              </a:solidFill>
              <a:latin typeface="Arial Black" panose="020B0A04020102020204" pitchFamily="34" charset="0"/>
            </a:endParaRPr>
          </a:p>
          <a:p>
            <a:pPr>
              <a:defRPr sz="2000"/>
            </a:pPr>
            <a:endParaRPr lang="en-US" sz="2000">
              <a:solidFill>
                <a:schemeClr val="bg1">
                  <a:lumMod val="50000"/>
                </a:schemeClr>
              </a:solidFill>
              <a:latin typeface="Arial Black" panose="020B0A04020102020204" pitchFamily="34" charset="0"/>
            </a:endParaRPr>
          </a:p>
        </c:rich>
      </c:tx>
      <c:layout>
        <c:manualLayout>
          <c:xMode val="edge"/>
          <c:yMode val="edge"/>
          <c:x val="0.18709081541066819"/>
          <c:y val="2.8910984650029437E-2"/>
        </c:manualLayout>
      </c:layout>
      <c:overlay val="0"/>
      <c:spPr>
        <a:noFill/>
        <a:ln>
          <a:noFill/>
        </a:ln>
        <a:effectLst/>
      </c:spPr>
      <c:txPr>
        <a:bodyPr rot="0" spcFirstLastPara="1" vertOverflow="ellipsis" vert="horz" wrap="square" anchor="ctr" anchorCtr="1"/>
        <a:lstStyle/>
        <a:p>
          <a:pPr>
            <a:defRPr sz="20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444139171319327E-2"/>
          <c:y val="0.2801142373598477"/>
          <c:w val="0.79866052441183066"/>
          <c:h val="0.5401136854885441"/>
        </c:manualLayout>
      </c:layout>
      <c:barChart>
        <c:barDir val="col"/>
        <c:grouping val="clustered"/>
        <c:varyColors val="0"/>
        <c:ser>
          <c:idx val="0"/>
          <c:order val="0"/>
          <c:tx>
            <c:strRef>
              <c:f>Analysis!$L$29</c:f>
              <c:strCache>
                <c:ptCount val="1"/>
                <c:pt idx="0">
                  <c:v>Total</c:v>
                </c:pt>
              </c:strCache>
            </c:strRef>
          </c:tx>
          <c:spPr>
            <a:solidFill>
              <a:srgbClr val="FFC000"/>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Analysis!$K$30:$K$40</c:f>
              <c:strCache>
                <c:ptCount val="10"/>
                <c:pt idx="0">
                  <c:v>AAPL</c:v>
                </c:pt>
                <c:pt idx="1">
                  <c:v>AMD</c:v>
                </c:pt>
                <c:pt idx="2">
                  <c:v>AMZN</c:v>
                </c:pt>
                <c:pt idx="3">
                  <c:v>ASML</c:v>
                </c:pt>
                <c:pt idx="4">
                  <c:v>GOOGL</c:v>
                </c:pt>
                <c:pt idx="5">
                  <c:v>META</c:v>
                </c:pt>
                <c:pt idx="6">
                  <c:v>MSFT</c:v>
                </c:pt>
                <c:pt idx="7">
                  <c:v>NFLX</c:v>
                </c:pt>
                <c:pt idx="8">
                  <c:v>NVDA</c:v>
                </c:pt>
                <c:pt idx="9">
                  <c:v>TSLA</c:v>
                </c:pt>
              </c:strCache>
            </c:strRef>
          </c:cat>
          <c:val>
            <c:numRef>
              <c:f>Analysis!$L$30:$L$40</c:f>
              <c:numCache>
                <c:formatCode>General</c:formatCode>
                <c:ptCount val="10"/>
                <c:pt idx="0">
                  <c:v>-0.5645</c:v>
                </c:pt>
                <c:pt idx="1">
                  <c:v>1.4511000000000001</c:v>
                </c:pt>
                <c:pt idx="2">
                  <c:v>-1.0907</c:v>
                </c:pt>
                <c:pt idx="3">
                  <c:v>1.9400000000000001E-2</c:v>
                </c:pt>
                <c:pt idx="4">
                  <c:v>-1.4576</c:v>
                </c:pt>
                <c:pt idx="5">
                  <c:v>-2.5846</c:v>
                </c:pt>
                <c:pt idx="6">
                  <c:v>-1.863</c:v>
                </c:pt>
                <c:pt idx="7">
                  <c:v>-0.2039</c:v>
                </c:pt>
                <c:pt idx="8">
                  <c:v>2.3010999999999999</c:v>
                </c:pt>
                <c:pt idx="9">
                  <c:v>-1.2984</c:v>
                </c:pt>
              </c:numCache>
            </c:numRef>
          </c:val>
          <c:extLst>
            <c:ext xmlns:c16="http://schemas.microsoft.com/office/drawing/2014/chart" uri="{C3380CC4-5D6E-409C-BE32-E72D297353CC}">
              <c16:uniqueId val="{00000000-CBEB-49AF-A339-49F42C9C4CD9}"/>
            </c:ext>
          </c:extLst>
        </c:ser>
        <c:dLbls>
          <c:dLblPos val="outEnd"/>
          <c:showLegendKey val="0"/>
          <c:showVal val="1"/>
          <c:showCatName val="0"/>
          <c:showSerName val="0"/>
          <c:showPercent val="0"/>
          <c:showBubbleSize val="0"/>
        </c:dLbls>
        <c:gapWidth val="444"/>
        <c:axId val="894333840"/>
        <c:axId val="894342960"/>
      </c:barChart>
      <c:catAx>
        <c:axId val="89433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94342960"/>
        <c:crosses val="autoZero"/>
        <c:auto val="1"/>
        <c:lblAlgn val="ctr"/>
        <c:lblOffset val="100"/>
        <c:noMultiLvlLbl val="0"/>
      </c:catAx>
      <c:valAx>
        <c:axId val="894342960"/>
        <c:scaling>
          <c:orientation val="minMax"/>
        </c:scaling>
        <c:delete val="1"/>
        <c:axPos val="l"/>
        <c:numFmt formatCode="General" sourceLinked="1"/>
        <c:majorTickMark val="none"/>
        <c:minorTickMark val="none"/>
        <c:tickLblPos val="nextTo"/>
        <c:crossAx val="8943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[dashboard.xlsx]Analysis!PivotTable4</c:name>
    <c:fmtId val="4"/>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solidFill>
                  <a:schemeClr val="bg1">
                    <a:lumMod val="50000"/>
                  </a:schemeClr>
                </a:solidFill>
                <a:latin typeface="Arial Black" panose="020B0A04020102020204" pitchFamily="34" charset="0"/>
              </a:rPr>
              <a:t>Volume Analysis</a:t>
            </a:r>
          </a:p>
        </c:rich>
      </c:tx>
      <c:layout>
        <c:manualLayout>
          <c:xMode val="edge"/>
          <c:yMode val="edge"/>
          <c:x val="0.27722900262467193"/>
          <c:y val="4.2342447040982154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7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c:f>
              <c:strCache>
                <c:ptCount val="1"/>
                <c:pt idx="0">
                  <c:v>Total</c:v>
                </c:pt>
              </c:strCache>
            </c:strRef>
          </c:tx>
          <c:spPr>
            <a:solidFill>
              <a:schemeClr val="accent6">
                <a:lumMod val="50000"/>
              </a:schemeClr>
            </a:solidFill>
            <a:ln>
              <a:solidFill>
                <a:schemeClr val="accent6">
                  <a:lumMod val="75000"/>
                </a:schemeClr>
              </a:solidFill>
            </a:ln>
            <a:effectLst>
              <a:outerShdw blurRad="57150" dist="19050" dir="5400000" algn="ctr" rotWithShape="0">
                <a:srgbClr val="000000">
                  <a:alpha val="63000"/>
                </a:srgbClr>
              </a:outerShdw>
            </a:effectLst>
          </c:spPr>
          <c:invertIfNegative val="0"/>
          <c:cat>
            <c:strRef>
              <c:f>Analysis!$K$2:$K$12</c:f>
              <c:strCache>
                <c:ptCount val="10"/>
                <c:pt idx="0">
                  <c:v>AAPL</c:v>
                </c:pt>
                <c:pt idx="1">
                  <c:v>AMD</c:v>
                </c:pt>
                <c:pt idx="2">
                  <c:v>AMZN</c:v>
                </c:pt>
                <c:pt idx="3">
                  <c:v>ASML</c:v>
                </c:pt>
                <c:pt idx="4">
                  <c:v>GOOGL</c:v>
                </c:pt>
                <c:pt idx="5">
                  <c:v>META</c:v>
                </c:pt>
                <c:pt idx="6">
                  <c:v>MSFT</c:v>
                </c:pt>
                <c:pt idx="7">
                  <c:v>NFLX</c:v>
                </c:pt>
                <c:pt idx="8">
                  <c:v>NVDA</c:v>
                </c:pt>
                <c:pt idx="9">
                  <c:v>TSLA</c:v>
                </c:pt>
              </c:strCache>
            </c:strRef>
          </c:cat>
          <c:val>
            <c:numRef>
              <c:f>Analysis!$L$2:$L$12</c:f>
              <c:numCache>
                <c:formatCode>General</c:formatCode>
                <c:ptCount val="10"/>
                <c:pt idx="0">
                  <c:v>38755929</c:v>
                </c:pt>
                <c:pt idx="1">
                  <c:v>24776665</c:v>
                </c:pt>
                <c:pt idx="2">
                  <c:v>34112732</c:v>
                </c:pt>
                <c:pt idx="3">
                  <c:v>1007366</c:v>
                </c:pt>
                <c:pt idx="4">
                  <c:v>39334140</c:v>
                </c:pt>
                <c:pt idx="5">
                  <c:v>11019559</c:v>
                </c:pt>
                <c:pt idx="6">
                  <c:v>28142511</c:v>
                </c:pt>
                <c:pt idx="7">
                  <c:v>44947331</c:v>
                </c:pt>
                <c:pt idx="8">
                  <c:v>137645596</c:v>
                </c:pt>
                <c:pt idx="9">
                  <c:v>30646124</c:v>
                </c:pt>
              </c:numCache>
            </c:numRef>
          </c:val>
          <c:extLst>
            <c:ext xmlns:c16="http://schemas.microsoft.com/office/drawing/2014/chart" uri="{C3380CC4-5D6E-409C-BE32-E72D297353CC}">
              <c16:uniqueId val="{00000000-462E-468D-84E1-EC8A0D39F9CB}"/>
            </c:ext>
          </c:extLst>
        </c:ser>
        <c:dLbls>
          <c:showLegendKey val="0"/>
          <c:showVal val="0"/>
          <c:showCatName val="0"/>
          <c:showSerName val="0"/>
          <c:showPercent val="0"/>
          <c:showBubbleSize val="0"/>
        </c:dLbls>
        <c:gapWidth val="115"/>
        <c:overlap val="-20"/>
        <c:axId val="70943519"/>
        <c:axId val="70952639"/>
      </c:barChart>
      <c:catAx>
        <c:axId val="7094351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52639"/>
        <c:crosses val="autoZero"/>
        <c:auto val="1"/>
        <c:lblAlgn val="ctr"/>
        <c:lblOffset val="100"/>
        <c:noMultiLvlLbl val="0"/>
      </c:catAx>
      <c:valAx>
        <c:axId val="709526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[dashboard.xlsx]Analysis!PivotTable7</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bg1">
                    <a:lumMod val="50000"/>
                  </a:schemeClr>
                </a:solidFill>
                <a:latin typeface="Arial Black" panose="020B0A04020102020204" pitchFamily="34" charset="0"/>
              </a:rPr>
              <a:t>Gainers vs Losers</a:t>
            </a:r>
          </a:p>
          <a:p>
            <a:pPr>
              <a:defRPr sz="2000"/>
            </a:pPr>
            <a:endParaRPr lang="en-US" sz="2000" b="1">
              <a:solidFill>
                <a:schemeClr val="bg1">
                  <a:lumMod val="50000"/>
                </a:schemeClr>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s>
    <c:plotArea>
      <c:layout>
        <c:manualLayout>
          <c:layoutTarget val="inner"/>
          <c:xMode val="edge"/>
          <c:yMode val="edge"/>
          <c:x val="0.17688473397942139"/>
          <c:y val="0.28400155419273221"/>
          <c:w val="0.48959217325388593"/>
          <c:h val="0.66479363888188325"/>
        </c:manualLayout>
      </c:layout>
      <c:doughnutChart>
        <c:varyColors val="1"/>
        <c:ser>
          <c:idx val="0"/>
          <c:order val="0"/>
          <c:tx>
            <c:strRef>
              <c:f>Analysis!$B$15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CFC-4E85-A6FC-BC738233068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CFC-4E85-A6FC-BC73823306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Analysis!$A$16:$A$18</c:f>
              <c:strCache>
                <c:ptCount val="2"/>
                <c:pt idx="0">
                  <c:v>Gain</c:v>
                </c:pt>
                <c:pt idx="1">
                  <c:v>Loss</c:v>
                </c:pt>
              </c:strCache>
            </c:strRef>
          </c:cat>
          <c:val>
            <c:numRef>
              <c:f>Analysis!$B$16:$B$18</c:f>
              <c:numCache>
                <c:formatCode>General</c:formatCode>
                <c:ptCount val="2"/>
                <c:pt idx="0">
                  <c:v>3</c:v>
                </c:pt>
                <c:pt idx="1">
                  <c:v>7</c:v>
                </c:pt>
              </c:numCache>
            </c:numRef>
          </c:val>
          <c:extLst>
            <c:ext xmlns:c16="http://schemas.microsoft.com/office/drawing/2014/chart" uri="{C3380CC4-5D6E-409C-BE32-E72D297353CC}">
              <c16:uniqueId val="{00000004-ACFC-4E85-A6FC-BC738233068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manualLayout>
          <c:layoutTarget val="inner"/>
          <c:xMode val="edge"/>
          <c:yMode val="edge"/>
          <c:x val="0.13881809460547032"/>
          <c:y val="0.2152198116515246"/>
          <c:w val="0.44655917524121019"/>
          <c:h val="0.70666047450037217"/>
        </c:manualLayout>
      </c:layout>
      <c:pieChart>
        <c:varyColors val="1"/>
        <c:ser>
          <c:idx val="0"/>
          <c:order val="0"/>
          <c:tx>
            <c:strRef>
              <c:f>Analysis!$L$15</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200-471C-9291-2B111AD1E52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200-471C-9291-2B111AD1E52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200-471C-9291-2B111AD1E527}"/>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F200-471C-9291-2B111AD1E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Analysis!$K$16:$K$20</c:f>
              <c:strCache>
                <c:ptCount val="4"/>
                <c:pt idx="0">
                  <c:v>High</c:v>
                </c:pt>
                <c:pt idx="1">
                  <c:v>Low</c:v>
                </c:pt>
                <c:pt idx="2">
                  <c:v>Medium</c:v>
                </c:pt>
                <c:pt idx="3">
                  <c:v>Very High</c:v>
                </c:pt>
              </c:strCache>
            </c:strRef>
          </c:cat>
          <c:val>
            <c:numRef>
              <c:f>Analysis!$L$16:$L$20</c:f>
              <c:numCache>
                <c:formatCode>General</c:formatCode>
                <c:ptCount val="4"/>
                <c:pt idx="0">
                  <c:v>1179.5</c:v>
                </c:pt>
                <c:pt idx="1">
                  <c:v>68.53</c:v>
                </c:pt>
                <c:pt idx="2">
                  <c:v>1889.2399999999998</c:v>
                </c:pt>
                <c:pt idx="3">
                  <c:v>1801.86</c:v>
                </c:pt>
              </c:numCache>
            </c:numRef>
          </c:val>
          <c:extLst>
            <c:ext xmlns:c16="http://schemas.microsoft.com/office/drawing/2014/chart" uri="{C3380CC4-5D6E-409C-BE32-E72D297353CC}">
              <c16:uniqueId val="{00000008-F200-471C-9291-2B111AD1E5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[dashboard.xlsx]Analysis!PivotTable16</c:name>
    <c:fmtId val="4"/>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solidFill>
                  <a:schemeClr val="bg1">
                    <a:lumMod val="50000"/>
                  </a:schemeClr>
                </a:solidFill>
                <a:latin typeface="Arial Black" panose="020B0A04020102020204" pitchFamily="34" charset="0"/>
              </a:rPr>
              <a:t>Volume Range Distributer</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Analysis!$B$24</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cat>
            <c:strRef>
              <c:f>Analysis!$A$25:$A$27</c:f>
              <c:strCache>
                <c:ptCount val="2"/>
                <c:pt idx="0">
                  <c:v>High</c:v>
                </c:pt>
                <c:pt idx="1">
                  <c:v>Normal</c:v>
                </c:pt>
              </c:strCache>
            </c:strRef>
          </c:cat>
          <c:val>
            <c:numRef>
              <c:f>Analysis!$B$25:$B$27</c:f>
              <c:numCache>
                <c:formatCode>General</c:formatCode>
                <c:ptCount val="2"/>
                <c:pt idx="0">
                  <c:v>137645596</c:v>
                </c:pt>
                <c:pt idx="1">
                  <c:v>28082484.111111112</c:v>
                </c:pt>
              </c:numCache>
            </c:numRef>
          </c:val>
          <c:extLst>
            <c:ext xmlns:c16="http://schemas.microsoft.com/office/drawing/2014/chart" uri="{C3380CC4-5D6E-409C-BE32-E72D297353CC}">
              <c16:uniqueId val="{00000000-CC31-4DF0-89D3-DCF34534F795}"/>
            </c:ext>
          </c:extLst>
        </c:ser>
        <c:dLbls>
          <c:showLegendKey val="0"/>
          <c:showVal val="0"/>
          <c:showCatName val="0"/>
          <c:showSerName val="0"/>
          <c:showPercent val="0"/>
          <c:showBubbleSize val="0"/>
        </c:dLbls>
        <c:gapWidth val="150"/>
        <c:axId val="894352080"/>
        <c:axId val="894351120"/>
      </c:barChart>
      <c:catAx>
        <c:axId val="8943520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51120"/>
        <c:crosses val="autoZero"/>
        <c:auto val="1"/>
        <c:lblAlgn val="ctr"/>
        <c:lblOffset val="100"/>
        <c:noMultiLvlLbl val="0"/>
      </c:catAx>
      <c:valAx>
        <c:axId val="89435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5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chart" Target="../charts/chart11.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4717</xdr:colOff>
      <xdr:row>0</xdr:row>
      <xdr:rowOff>179069</xdr:rowOff>
    </xdr:from>
    <xdr:to>
      <xdr:col>8</xdr:col>
      <xdr:colOff>198120</xdr:colOff>
      <xdr:row>12</xdr:row>
      <xdr:rowOff>76199</xdr:rowOff>
    </xdr:to>
    <xdr:graphicFrame macro="">
      <xdr:nvGraphicFramePr>
        <xdr:cNvPr id="2" name="Chart 1">
          <a:extLst>
            <a:ext uri="{FF2B5EF4-FFF2-40B4-BE49-F238E27FC236}">
              <a16:creationId xmlns:a16="http://schemas.microsoft.com/office/drawing/2014/main" id="{DE12ED5D-CD3F-C300-239F-DD2D820C6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695</xdr:colOff>
      <xdr:row>13</xdr:row>
      <xdr:rowOff>161973</xdr:rowOff>
    </xdr:from>
    <xdr:to>
      <xdr:col>8</xdr:col>
      <xdr:colOff>217714</xdr:colOff>
      <xdr:row>22</xdr:row>
      <xdr:rowOff>36284</xdr:rowOff>
    </xdr:to>
    <xdr:graphicFrame macro="">
      <xdr:nvGraphicFramePr>
        <xdr:cNvPr id="4" name="Chart 3">
          <a:extLst>
            <a:ext uri="{FF2B5EF4-FFF2-40B4-BE49-F238E27FC236}">
              <a16:creationId xmlns:a16="http://schemas.microsoft.com/office/drawing/2014/main" id="{0D4F7ECB-F197-9FE5-7A4F-C5E4085A6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72571</xdr:colOff>
      <xdr:row>23</xdr:row>
      <xdr:rowOff>11793</xdr:rowOff>
    </xdr:from>
    <xdr:to>
      <xdr:col>7</xdr:col>
      <xdr:colOff>526142</xdr:colOff>
      <xdr:row>38</xdr:row>
      <xdr:rowOff>33564</xdr:rowOff>
    </xdr:to>
    <xdr:graphicFrame macro="">
      <xdr:nvGraphicFramePr>
        <xdr:cNvPr id="6" name="Chart 5">
          <a:extLst>
            <a:ext uri="{FF2B5EF4-FFF2-40B4-BE49-F238E27FC236}">
              <a16:creationId xmlns:a16="http://schemas.microsoft.com/office/drawing/2014/main" id="{424248AC-A985-1EE4-456D-5BA7A5D64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27</xdr:row>
      <xdr:rowOff>175080</xdr:rowOff>
    </xdr:from>
    <xdr:to>
      <xdr:col>18</xdr:col>
      <xdr:colOff>571500</xdr:colOff>
      <xdr:row>39</xdr:row>
      <xdr:rowOff>172357</xdr:rowOff>
    </xdr:to>
    <xdr:graphicFrame macro="">
      <xdr:nvGraphicFramePr>
        <xdr:cNvPr id="7" name="Chart 6">
          <a:extLst>
            <a:ext uri="{FF2B5EF4-FFF2-40B4-BE49-F238E27FC236}">
              <a16:creationId xmlns:a16="http://schemas.microsoft.com/office/drawing/2014/main" id="{EF98EA4E-C782-E6BC-FDDB-3267AF5D6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81643</xdr:colOff>
      <xdr:row>0</xdr:row>
      <xdr:rowOff>0</xdr:rowOff>
    </xdr:from>
    <xdr:to>
      <xdr:col>18</xdr:col>
      <xdr:colOff>489857</xdr:colOff>
      <xdr:row>11</xdr:row>
      <xdr:rowOff>145143</xdr:rowOff>
    </xdr:to>
    <xdr:graphicFrame macro="">
      <xdr:nvGraphicFramePr>
        <xdr:cNvPr id="9" name="Chart 8">
          <a:extLst>
            <a:ext uri="{FF2B5EF4-FFF2-40B4-BE49-F238E27FC236}">
              <a16:creationId xmlns:a16="http://schemas.microsoft.com/office/drawing/2014/main" id="{756E01DB-B7B5-6014-EF60-7A3CF1A65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36286</xdr:colOff>
      <xdr:row>14</xdr:row>
      <xdr:rowOff>2721</xdr:rowOff>
    </xdr:from>
    <xdr:to>
      <xdr:col>18</xdr:col>
      <xdr:colOff>444500</xdr:colOff>
      <xdr:row>26</xdr:row>
      <xdr:rowOff>90714</xdr:rowOff>
    </xdr:to>
    <xdr:graphicFrame macro="">
      <xdr:nvGraphicFramePr>
        <xdr:cNvPr id="10" name="Chart 9">
          <a:extLst>
            <a:ext uri="{FF2B5EF4-FFF2-40B4-BE49-F238E27FC236}">
              <a16:creationId xmlns:a16="http://schemas.microsoft.com/office/drawing/2014/main" id="{17EB9F66-010D-EC70-EC21-C1DEFEDCE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194855</xdr:colOff>
      <xdr:row>35</xdr:row>
      <xdr:rowOff>60493</xdr:rowOff>
    </xdr:from>
    <xdr:to>
      <xdr:col>22</xdr:col>
      <xdr:colOff>110879</xdr:colOff>
      <xdr:row>48</xdr:row>
      <xdr:rowOff>101509</xdr:rowOff>
    </xdr:to>
    <mc:AlternateContent xmlns:mc="http://schemas.openxmlformats.org/markup-compatibility/2006" xmlns:a14="http://schemas.microsoft.com/office/drawing/2010/main">
      <mc:Choice Requires="a14">
        <xdr:graphicFrame macro="">
          <xdr:nvGraphicFramePr>
            <xdr:cNvPr id="17" name="Symbol">
              <a:extLst>
                <a:ext uri="{FF2B5EF4-FFF2-40B4-BE49-F238E27FC236}">
                  <a16:creationId xmlns:a16="http://schemas.microsoft.com/office/drawing/2014/main" id="{20E79101-0ED3-EF82-5645-2CA3115F6231}"/>
                </a:ext>
              </a:extLst>
            </xdr:cNvPr>
            <xdr:cNvGraphicFramePr/>
          </xdr:nvGraphicFramePr>
          <xdr:xfrm>
            <a:off x="0" y="0"/>
            <a:ext cx="0" cy="0"/>
          </xdr:xfrm>
          <a:graphic>
            <a:graphicData uri="http://schemas.microsoft.com/office/drawing/2010/slicer">
              <sle:slicer xmlns:sle="http://schemas.microsoft.com/office/drawing/2010/slicer" name="Symbol"/>
            </a:graphicData>
          </a:graphic>
        </xdr:graphicFrame>
      </mc:Choice>
      <mc:Fallback xmlns="">
        <xdr:sp macro="" textlink="">
          <xdr:nvSpPr>
            <xdr:cNvPr id="0" name=""/>
            <xdr:cNvSpPr>
              <a:spLocks noTextEdit="1"/>
            </xdr:cNvSpPr>
          </xdr:nvSpPr>
          <xdr:spPr>
            <a:xfrm>
              <a:off x="18529508" y="6591922"/>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697929</xdr:colOff>
      <xdr:row>19</xdr:row>
      <xdr:rowOff>19283</xdr:rowOff>
    </xdr:from>
    <xdr:to>
      <xdr:col>25</xdr:col>
      <xdr:colOff>256280</xdr:colOff>
      <xdr:row>32</xdr:row>
      <xdr:rowOff>60299</xdr:rowOff>
    </xdr:to>
    <mc:AlternateContent xmlns:mc="http://schemas.openxmlformats.org/markup-compatibility/2006" xmlns:a14="http://schemas.microsoft.com/office/drawing/2010/main">
      <mc:Choice Requires="a14">
        <xdr:graphicFrame macro="">
          <xdr:nvGraphicFramePr>
            <xdr:cNvPr id="22" name="Price Movement">
              <a:extLst>
                <a:ext uri="{FF2B5EF4-FFF2-40B4-BE49-F238E27FC236}">
                  <a16:creationId xmlns:a16="http://schemas.microsoft.com/office/drawing/2014/main" id="{A1D0206E-D2BF-6471-7883-F7BED68D7CCB}"/>
                </a:ext>
              </a:extLst>
            </xdr:cNvPr>
            <xdr:cNvGraphicFramePr/>
          </xdr:nvGraphicFramePr>
          <xdr:xfrm>
            <a:off x="0" y="0"/>
            <a:ext cx="0" cy="0"/>
          </xdr:xfrm>
          <a:graphic>
            <a:graphicData uri="http://schemas.microsoft.com/office/drawing/2010/slicer">
              <sle:slicer xmlns:sle="http://schemas.microsoft.com/office/drawing/2010/slicer" name="Price Movement"/>
            </a:graphicData>
          </a:graphic>
        </xdr:graphicFrame>
      </mc:Choice>
      <mc:Fallback xmlns="">
        <xdr:sp macro="" textlink="">
          <xdr:nvSpPr>
            <xdr:cNvPr id="0" name=""/>
            <xdr:cNvSpPr>
              <a:spLocks noTextEdit="1"/>
            </xdr:cNvSpPr>
          </xdr:nvSpPr>
          <xdr:spPr>
            <a:xfrm>
              <a:off x="20945358" y="356491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229377</xdr:colOff>
      <xdr:row>19</xdr:row>
      <xdr:rowOff>79465</xdr:rowOff>
    </xdr:from>
    <xdr:to>
      <xdr:col>22</xdr:col>
      <xdr:colOff>145401</xdr:colOff>
      <xdr:row>32</xdr:row>
      <xdr:rowOff>120481</xdr:rowOff>
    </xdr:to>
    <mc:AlternateContent xmlns:mc="http://schemas.openxmlformats.org/markup-compatibility/2006" xmlns:a14="http://schemas.microsoft.com/office/drawing/2010/main">
      <mc:Choice Requires="a14">
        <xdr:graphicFrame macro="">
          <xdr:nvGraphicFramePr>
            <xdr:cNvPr id="23" name="Volume Category Range">
              <a:extLst>
                <a:ext uri="{FF2B5EF4-FFF2-40B4-BE49-F238E27FC236}">
                  <a16:creationId xmlns:a16="http://schemas.microsoft.com/office/drawing/2014/main" id="{2260E34D-0AC7-58B8-9BE1-18D77E178F04}"/>
                </a:ext>
              </a:extLst>
            </xdr:cNvPr>
            <xdr:cNvGraphicFramePr/>
          </xdr:nvGraphicFramePr>
          <xdr:xfrm>
            <a:off x="0" y="0"/>
            <a:ext cx="0" cy="0"/>
          </xdr:xfrm>
          <a:graphic>
            <a:graphicData uri="http://schemas.microsoft.com/office/drawing/2010/slicer">
              <sle:slicer xmlns:sle="http://schemas.microsoft.com/office/drawing/2010/slicer" name="Volume Category Range"/>
            </a:graphicData>
          </a:graphic>
        </xdr:graphicFrame>
      </mc:Choice>
      <mc:Fallback xmlns="">
        <xdr:sp macro="" textlink="">
          <xdr:nvSpPr>
            <xdr:cNvPr id="0" name=""/>
            <xdr:cNvSpPr>
              <a:spLocks noTextEdit="1"/>
            </xdr:cNvSpPr>
          </xdr:nvSpPr>
          <xdr:spPr>
            <a:xfrm>
              <a:off x="18564030" y="362509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196253</xdr:colOff>
      <xdr:row>3</xdr:row>
      <xdr:rowOff>30791</xdr:rowOff>
    </xdr:from>
    <xdr:to>
      <xdr:col>24</xdr:col>
      <xdr:colOff>361094</xdr:colOff>
      <xdr:row>16</xdr:row>
      <xdr:rowOff>71807</xdr:rowOff>
    </xdr:to>
    <mc:AlternateContent xmlns:mc="http://schemas.openxmlformats.org/markup-compatibility/2006" xmlns:a14="http://schemas.microsoft.com/office/drawing/2010/main">
      <mc:Choice Requires="a14">
        <xdr:graphicFrame macro="">
          <xdr:nvGraphicFramePr>
            <xdr:cNvPr id="24" name="Price Band">
              <a:extLst>
                <a:ext uri="{FF2B5EF4-FFF2-40B4-BE49-F238E27FC236}">
                  <a16:creationId xmlns:a16="http://schemas.microsoft.com/office/drawing/2014/main" id="{1BDE9BEA-2AEB-2105-0449-962EC856770B}"/>
                </a:ext>
              </a:extLst>
            </xdr:cNvPr>
            <xdr:cNvGraphicFramePr/>
          </xdr:nvGraphicFramePr>
          <xdr:xfrm>
            <a:off x="0" y="0"/>
            <a:ext cx="0" cy="0"/>
          </xdr:xfrm>
          <a:graphic>
            <a:graphicData uri="http://schemas.microsoft.com/office/drawing/2010/slicer">
              <sle:slicer xmlns:sle="http://schemas.microsoft.com/office/drawing/2010/slicer" name="Price Band"/>
            </a:graphicData>
          </a:graphic>
        </xdr:graphicFrame>
      </mc:Choice>
      <mc:Fallback xmlns="">
        <xdr:sp macro="" textlink="">
          <xdr:nvSpPr>
            <xdr:cNvPr id="0" name=""/>
            <xdr:cNvSpPr>
              <a:spLocks noTextEdit="1"/>
            </xdr:cNvSpPr>
          </xdr:nvSpPr>
          <xdr:spPr>
            <a:xfrm>
              <a:off x="20443682" y="59062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23171</xdr:colOff>
      <xdr:row>3</xdr:row>
      <xdr:rowOff>28769</xdr:rowOff>
    </xdr:from>
    <xdr:to>
      <xdr:col>21</xdr:col>
      <xdr:colOff>981114</xdr:colOff>
      <xdr:row>16</xdr:row>
      <xdr:rowOff>69785</xdr:rowOff>
    </xdr:to>
    <mc:AlternateContent xmlns:mc="http://schemas.openxmlformats.org/markup-compatibility/2006" xmlns:a14="http://schemas.microsoft.com/office/drawing/2010/main">
      <mc:Choice Requires="a14">
        <xdr:graphicFrame macro="">
          <xdr:nvGraphicFramePr>
            <xdr:cNvPr id="25" name="Price Band Range">
              <a:extLst>
                <a:ext uri="{FF2B5EF4-FFF2-40B4-BE49-F238E27FC236}">
                  <a16:creationId xmlns:a16="http://schemas.microsoft.com/office/drawing/2014/main" id="{A17DA372-CAB0-6C7C-98A8-E0D38973DE5D}"/>
                </a:ext>
              </a:extLst>
            </xdr:cNvPr>
            <xdr:cNvGraphicFramePr/>
          </xdr:nvGraphicFramePr>
          <xdr:xfrm>
            <a:off x="0" y="0"/>
            <a:ext cx="0" cy="0"/>
          </xdr:xfrm>
          <a:graphic>
            <a:graphicData uri="http://schemas.microsoft.com/office/drawing/2010/slicer">
              <sle:slicer xmlns:sle="http://schemas.microsoft.com/office/drawing/2010/slicer" name="Price Band Range"/>
            </a:graphicData>
          </a:graphic>
        </xdr:graphicFrame>
      </mc:Choice>
      <mc:Fallback xmlns="">
        <xdr:sp macro="" textlink="">
          <xdr:nvSpPr>
            <xdr:cNvPr id="0" name=""/>
            <xdr:cNvSpPr>
              <a:spLocks noTextEdit="1"/>
            </xdr:cNvSpPr>
          </xdr:nvSpPr>
          <xdr:spPr>
            <a:xfrm>
              <a:off x="18357824" y="58860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169334</xdr:colOff>
      <xdr:row>0</xdr:row>
      <xdr:rowOff>25400</xdr:rowOff>
    </xdr:from>
    <xdr:ext cx="6620934" cy="575733"/>
    <xdr:sp macro="" textlink="">
      <xdr:nvSpPr>
        <xdr:cNvPr id="4" name="TextBox 3">
          <a:extLst>
            <a:ext uri="{FF2B5EF4-FFF2-40B4-BE49-F238E27FC236}">
              <a16:creationId xmlns:a16="http://schemas.microsoft.com/office/drawing/2014/main" id="{EB5363C9-B8FC-EF61-6999-CA9B2817D902}"/>
            </a:ext>
          </a:extLst>
        </xdr:cNvPr>
        <xdr:cNvSpPr txBox="1"/>
      </xdr:nvSpPr>
      <xdr:spPr>
        <a:xfrm>
          <a:off x="778934" y="25400"/>
          <a:ext cx="6620934" cy="575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2400" b="1">
              <a:solidFill>
                <a:schemeClr val="bg1"/>
              </a:solidFill>
              <a:latin typeface="Segoe UI Black" panose="020B0A02040204020203" pitchFamily="34" charset="0"/>
              <a:ea typeface="Segoe UI Black" panose="020B0A02040204020203" pitchFamily="34" charset="0"/>
            </a:rPr>
            <a:t>REAL-TIME STOCK MARKET DASHBOARD</a:t>
          </a:r>
        </a:p>
      </xdr:txBody>
    </xdr:sp>
    <xdr:clientData/>
  </xdr:oneCellAnchor>
  <xdr:oneCellAnchor>
    <xdr:from>
      <xdr:col>1</xdr:col>
      <xdr:colOff>127000</xdr:colOff>
      <xdr:row>1</xdr:row>
      <xdr:rowOff>84666</xdr:rowOff>
    </xdr:from>
    <xdr:ext cx="3056466" cy="279948"/>
    <xdr:sp macro="" textlink="">
      <xdr:nvSpPr>
        <xdr:cNvPr id="5" name="TextBox 4">
          <a:extLst>
            <a:ext uri="{FF2B5EF4-FFF2-40B4-BE49-F238E27FC236}">
              <a16:creationId xmlns:a16="http://schemas.microsoft.com/office/drawing/2014/main" id="{FDF6D463-D1A3-0D08-587A-5D0DFB9A718C}"/>
            </a:ext>
          </a:extLst>
        </xdr:cNvPr>
        <xdr:cNvSpPr txBox="1"/>
      </xdr:nvSpPr>
      <xdr:spPr>
        <a:xfrm>
          <a:off x="736600" y="397933"/>
          <a:ext cx="3056466"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i="0">
              <a:solidFill>
                <a:schemeClr val="bg1"/>
              </a:solidFill>
              <a:latin typeface="Segoe UI Black" panose="020B0A02040204020203" pitchFamily="34" charset="0"/>
              <a:ea typeface="Segoe UI Black" panose="020B0A02040204020203" pitchFamily="34" charset="0"/>
            </a:rPr>
            <a:t>Live Stock Data from Alpha Vantage API</a:t>
          </a:r>
        </a:p>
      </xdr:txBody>
    </xdr:sp>
    <xdr:clientData/>
  </xdr:oneCellAnchor>
  <xdr:twoCellAnchor editAs="oneCell">
    <xdr:from>
      <xdr:col>0</xdr:col>
      <xdr:colOff>270931</xdr:colOff>
      <xdr:row>0</xdr:row>
      <xdr:rowOff>0</xdr:rowOff>
    </xdr:from>
    <xdr:to>
      <xdr:col>1</xdr:col>
      <xdr:colOff>279398</xdr:colOff>
      <xdr:row>2</xdr:row>
      <xdr:rowOff>67734</xdr:rowOff>
    </xdr:to>
    <xdr:pic>
      <xdr:nvPicPr>
        <xdr:cNvPr id="7" name="Graphic 6" descr="Bar graph with upward trend">
          <a:extLst>
            <a:ext uri="{FF2B5EF4-FFF2-40B4-BE49-F238E27FC236}">
              <a16:creationId xmlns:a16="http://schemas.microsoft.com/office/drawing/2014/main" id="{4AFB6228-1338-3A4A-EC1D-D221453D87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0931" y="0"/>
          <a:ext cx="618067" cy="694267"/>
        </a:xfrm>
        <a:prstGeom prst="rect">
          <a:avLst/>
        </a:prstGeom>
      </xdr:spPr>
    </xdr:pic>
    <xdr:clientData/>
  </xdr:twoCellAnchor>
  <xdr:twoCellAnchor>
    <xdr:from>
      <xdr:col>13</xdr:col>
      <xdr:colOff>59267</xdr:colOff>
      <xdr:row>0</xdr:row>
      <xdr:rowOff>127000</xdr:rowOff>
    </xdr:from>
    <xdr:to>
      <xdr:col>16</xdr:col>
      <xdr:colOff>16933</xdr:colOff>
      <xdr:row>1</xdr:row>
      <xdr:rowOff>152399</xdr:rowOff>
    </xdr:to>
    <xdr:sp macro="[0]!RectangleRoundedCorners7_Click" textlink="">
      <xdr:nvSpPr>
        <xdr:cNvPr id="8" name="Rectangle: Rounded Corners 7">
          <a:extLst>
            <a:ext uri="{FF2B5EF4-FFF2-40B4-BE49-F238E27FC236}">
              <a16:creationId xmlns:a16="http://schemas.microsoft.com/office/drawing/2014/main" id="{527DAF14-F22E-9BD0-5946-C0D695B5C31F}"/>
            </a:ext>
          </a:extLst>
        </xdr:cNvPr>
        <xdr:cNvSpPr/>
      </xdr:nvSpPr>
      <xdr:spPr>
        <a:xfrm>
          <a:off x="7984067" y="127000"/>
          <a:ext cx="1786466" cy="338666"/>
        </a:xfrm>
        <a:prstGeom prst="round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US" sz="1400" b="1">
              <a:solidFill>
                <a:schemeClr val="bg1"/>
              </a:solidFill>
            </a:rPr>
            <a:t>↻ Refresh Data</a:t>
          </a:r>
        </a:p>
      </xdr:txBody>
    </xdr:sp>
    <xdr:clientData/>
  </xdr:twoCellAnchor>
  <xdr:oneCellAnchor>
    <xdr:from>
      <xdr:col>18</xdr:col>
      <xdr:colOff>172528</xdr:colOff>
      <xdr:row>0</xdr:row>
      <xdr:rowOff>2</xdr:rowOff>
    </xdr:from>
    <xdr:ext cx="2070340" cy="287546"/>
    <xdr:sp macro="" textlink="">
      <xdr:nvSpPr>
        <xdr:cNvPr id="9" name="TextBox 8">
          <a:extLst>
            <a:ext uri="{FF2B5EF4-FFF2-40B4-BE49-F238E27FC236}">
              <a16:creationId xmlns:a16="http://schemas.microsoft.com/office/drawing/2014/main" id="{E532AB86-9199-B666-9779-8FFA75B10F0C}"/>
            </a:ext>
          </a:extLst>
        </xdr:cNvPr>
        <xdr:cNvSpPr txBox="1"/>
      </xdr:nvSpPr>
      <xdr:spPr>
        <a:xfrm>
          <a:off x="15527547" y="2"/>
          <a:ext cx="2070340" cy="287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800" b="1">
              <a:solidFill>
                <a:schemeClr val="bg1"/>
              </a:solidFill>
              <a:latin typeface="Segoe UI Black" panose="020B0A02040204020203" pitchFamily="34" charset="0"/>
              <a:ea typeface="Segoe UI Black" panose="020B0A02040204020203" pitchFamily="34" charset="0"/>
            </a:rPr>
            <a:t>Last Updated</a:t>
          </a:r>
        </a:p>
      </xdr:txBody>
    </xdr:sp>
    <xdr:clientData/>
  </xdr:oneCellAnchor>
  <xdr:oneCellAnchor>
    <xdr:from>
      <xdr:col>12</xdr:col>
      <xdr:colOff>414867</xdr:colOff>
      <xdr:row>6</xdr:row>
      <xdr:rowOff>84667</xdr:rowOff>
    </xdr:from>
    <xdr:ext cx="1098570" cy="448733"/>
    <xdr:sp macro="" textlink="">
      <xdr:nvSpPr>
        <xdr:cNvPr id="10" name="TextBox 9">
          <a:extLst>
            <a:ext uri="{FF2B5EF4-FFF2-40B4-BE49-F238E27FC236}">
              <a16:creationId xmlns:a16="http://schemas.microsoft.com/office/drawing/2014/main" id="{F34C5806-CAC0-CEDD-1CC3-B31443FD7F83}"/>
            </a:ext>
          </a:extLst>
        </xdr:cNvPr>
        <xdr:cNvSpPr txBox="1"/>
      </xdr:nvSpPr>
      <xdr:spPr>
        <a:xfrm>
          <a:off x="7730067" y="1964267"/>
          <a:ext cx="1098570" cy="448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100"/>
        </a:p>
      </xdr:txBody>
    </xdr:sp>
    <xdr:clientData/>
  </xdr:oneCellAnchor>
  <xdr:twoCellAnchor>
    <xdr:from>
      <xdr:col>0</xdr:col>
      <xdr:colOff>93133</xdr:colOff>
      <xdr:row>2</xdr:row>
      <xdr:rowOff>127001</xdr:rowOff>
    </xdr:from>
    <xdr:to>
      <xdr:col>2</xdr:col>
      <xdr:colOff>296333</xdr:colOff>
      <xdr:row>5</xdr:row>
      <xdr:rowOff>127001</xdr:rowOff>
    </xdr:to>
    <xdr:sp macro="" textlink="Analysis!A46">
      <xdr:nvSpPr>
        <xdr:cNvPr id="11" name="Rectangle: Rounded Corners 10">
          <a:extLst>
            <a:ext uri="{FF2B5EF4-FFF2-40B4-BE49-F238E27FC236}">
              <a16:creationId xmlns:a16="http://schemas.microsoft.com/office/drawing/2014/main" id="{781E0612-BE55-725B-4E84-8A5571CD1178}"/>
            </a:ext>
          </a:extLst>
        </xdr:cNvPr>
        <xdr:cNvSpPr/>
      </xdr:nvSpPr>
      <xdr:spPr>
        <a:xfrm>
          <a:off x="93133" y="753534"/>
          <a:ext cx="1422400" cy="939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200" b="1"/>
        </a:p>
      </xdr:txBody>
    </xdr:sp>
    <xdr:clientData/>
  </xdr:twoCellAnchor>
  <xdr:oneCellAnchor>
    <xdr:from>
      <xdr:col>0</xdr:col>
      <xdr:colOff>110067</xdr:colOff>
      <xdr:row>3</xdr:row>
      <xdr:rowOff>194732</xdr:rowOff>
    </xdr:from>
    <xdr:ext cx="1371600" cy="347135"/>
    <xdr:sp macro="" textlink="Analysis!A46">
      <xdr:nvSpPr>
        <xdr:cNvPr id="22" name="TextBox 21">
          <a:extLst>
            <a:ext uri="{FF2B5EF4-FFF2-40B4-BE49-F238E27FC236}">
              <a16:creationId xmlns:a16="http://schemas.microsoft.com/office/drawing/2014/main" id="{2DBB0F0B-6F87-35AC-A6FF-72809A9BFF5E}"/>
            </a:ext>
          </a:extLst>
        </xdr:cNvPr>
        <xdr:cNvSpPr txBox="1"/>
      </xdr:nvSpPr>
      <xdr:spPr>
        <a:xfrm>
          <a:off x="110067" y="1134532"/>
          <a:ext cx="1371600" cy="3471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E5DEBC3-7D61-4D20-8E2F-5F7DC052B9B5}" type="TxLink">
            <a:rPr lang="en-US" sz="2000" b="0" i="0" u="none" strike="noStrike">
              <a:solidFill>
                <a:schemeClr val="accent6">
                  <a:lumMod val="75000"/>
                </a:schemeClr>
              </a:solidFill>
              <a:latin typeface="Calibri"/>
              <a:ea typeface="Calibri"/>
              <a:cs typeface="Calibri"/>
            </a:rPr>
            <a:pPr algn="ctr"/>
            <a:t>10</a:t>
          </a:fld>
          <a:endParaRPr lang="en-US" sz="2000">
            <a:solidFill>
              <a:schemeClr val="accent6">
                <a:lumMod val="75000"/>
              </a:schemeClr>
            </a:solidFill>
          </a:endParaRPr>
        </a:p>
      </xdr:txBody>
    </xdr:sp>
    <xdr:clientData/>
  </xdr:oneCellAnchor>
  <xdr:oneCellAnchor>
    <xdr:from>
      <xdr:col>0</xdr:col>
      <xdr:colOff>296333</xdr:colOff>
      <xdr:row>2</xdr:row>
      <xdr:rowOff>270934</xdr:rowOff>
    </xdr:from>
    <xdr:ext cx="1286932" cy="279948"/>
    <xdr:sp macro="" textlink="">
      <xdr:nvSpPr>
        <xdr:cNvPr id="23" name="TextBox 22">
          <a:extLst>
            <a:ext uri="{FF2B5EF4-FFF2-40B4-BE49-F238E27FC236}">
              <a16:creationId xmlns:a16="http://schemas.microsoft.com/office/drawing/2014/main" id="{9EE0D374-AE14-96A9-22A6-1F1F91F957B2}"/>
            </a:ext>
          </a:extLst>
        </xdr:cNvPr>
        <xdr:cNvSpPr txBox="1"/>
      </xdr:nvSpPr>
      <xdr:spPr>
        <a:xfrm>
          <a:off x="296333" y="897467"/>
          <a:ext cx="1286932"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accent6">
                  <a:lumMod val="75000"/>
                </a:schemeClr>
              </a:solidFill>
              <a:latin typeface="Segoe UI Black" panose="020B0A02040204020203" pitchFamily="34" charset="0"/>
              <a:ea typeface="Segoe UI Black" panose="020B0A02040204020203" pitchFamily="34" charset="0"/>
            </a:rPr>
            <a:t>TOTAL STOCKS</a:t>
          </a:r>
        </a:p>
      </xdr:txBody>
    </xdr:sp>
    <xdr:clientData/>
  </xdr:oneCellAnchor>
  <xdr:twoCellAnchor editAs="oneCell">
    <xdr:from>
      <xdr:col>0</xdr:col>
      <xdr:colOff>76201</xdr:colOff>
      <xdr:row>2</xdr:row>
      <xdr:rowOff>203200</xdr:rowOff>
    </xdr:from>
    <xdr:to>
      <xdr:col>0</xdr:col>
      <xdr:colOff>414867</xdr:colOff>
      <xdr:row>3</xdr:row>
      <xdr:rowOff>287867</xdr:rowOff>
    </xdr:to>
    <xdr:pic>
      <xdr:nvPicPr>
        <xdr:cNvPr id="25" name="Graphic 24" descr="Bar graph with upward trend">
          <a:extLst>
            <a:ext uri="{FF2B5EF4-FFF2-40B4-BE49-F238E27FC236}">
              <a16:creationId xmlns:a16="http://schemas.microsoft.com/office/drawing/2014/main" id="{66B2D9B8-7529-514C-1FC0-F601812359C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1" y="829733"/>
          <a:ext cx="338666" cy="397934"/>
        </a:xfrm>
        <a:prstGeom prst="rect">
          <a:avLst/>
        </a:prstGeom>
      </xdr:spPr>
    </xdr:pic>
    <xdr:clientData/>
  </xdr:twoCellAnchor>
  <xdr:oneCellAnchor>
    <xdr:from>
      <xdr:col>0</xdr:col>
      <xdr:colOff>347133</xdr:colOff>
      <xdr:row>4</xdr:row>
      <xdr:rowOff>203200</xdr:rowOff>
    </xdr:from>
    <xdr:ext cx="936731" cy="264560"/>
    <xdr:sp macro="" textlink="">
      <xdr:nvSpPr>
        <xdr:cNvPr id="26" name="TextBox 25">
          <a:extLst>
            <a:ext uri="{FF2B5EF4-FFF2-40B4-BE49-F238E27FC236}">
              <a16:creationId xmlns:a16="http://schemas.microsoft.com/office/drawing/2014/main" id="{D1E0321E-F409-A880-30AD-FC42B4E0F9F0}"/>
            </a:ext>
          </a:extLst>
        </xdr:cNvPr>
        <xdr:cNvSpPr txBox="1"/>
      </xdr:nvSpPr>
      <xdr:spPr>
        <a:xfrm>
          <a:off x="347133" y="1456267"/>
          <a:ext cx="936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accent6">
                  <a:lumMod val="75000"/>
                </a:schemeClr>
              </a:solidFill>
            </a:rPr>
            <a:t>Active Stocks</a:t>
          </a:r>
        </a:p>
      </xdr:txBody>
    </xdr:sp>
    <xdr:clientData/>
  </xdr:oneCellAnchor>
  <xdr:twoCellAnchor>
    <xdr:from>
      <xdr:col>0</xdr:col>
      <xdr:colOff>49057</xdr:colOff>
      <xdr:row>2</xdr:row>
      <xdr:rowOff>118534</xdr:rowOff>
    </xdr:from>
    <xdr:to>
      <xdr:col>2</xdr:col>
      <xdr:colOff>623001</xdr:colOff>
      <xdr:row>5</xdr:row>
      <xdr:rowOff>158727</xdr:rowOff>
    </xdr:to>
    <xdr:grpSp>
      <xdr:nvGrpSpPr>
        <xdr:cNvPr id="47" name="Group 46">
          <a:extLst>
            <a:ext uri="{FF2B5EF4-FFF2-40B4-BE49-F238E27FC236}">
              <a16:creationId xmlns:a16="http://schemas.microsoft.com/office/drawing/2014/main" id="{A601BE7B-5BD0-996A-DA3B-AC988766020D}"/>
            </a:ext>
          </a:extLst>
        </xdr:cNvPr>
        <xdr:cNvGrpSpPr/>
      </xdr:nvGrpSpPr>
      <xdr:grpSpPr>
        <a:xfrm>
          <a:off x="49057" y="753534"/>
          <a:ext cx="2021744" cy="992693"/>
          <a:chOff x="93133" y="753534"/>
          <a:chExt cx="1697985" cy="979828"/>
        </a:xfrm>
        <a:effectLst>
          <a:outerShdw blurRad="50800" dist="38100" dir="2700000" algn="tl" rotWithShape="0">
            <a:prstClr val="black">
              <a:alpha val="40000"/>
            </a:prstClr>
          </a:outerShdw>
        </a:effectLst>
      </xdr:grpSpPr>
      <xdr:sp macro="" textlink="Analysis!S68">
        <xdr:nvSpPr>
          <xdr:cNvPr id="32" name="Rectangle: Rounded Corners 31">
            <a:extLst>
              <a:ext uri="{FF2B5EF4-FFF2-40B4-BE49-F238E27FC236}">
                <a16:creationId xmlns:a16="http://schemas.microsoft.com/office/drawing/2014/main" id="{AABBDA13-B06D-4661-9FDD-13E91BD52E7A}"/>
              </a:ext>
            </a:extLst>
          </xdr:cNvPr>
          <xdr:cNvSpPr/>
        </xdr:nvSpPr>
        <xdr:spPr>
          <a:xfrm>
            <a:off x="93133" y="753534"/>
            <a:ext cx="1581216" cy="939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200" b="1"/>
          </a:p>
        </xdr:txBody>
      </xdr:sp>
      <xdr:sp macro="" textlink="Analysis!A46">
        <xdr:nvSpPr>
          <xdr:cNvPr id="33" name="TextBox 32">
            <a:extLst>
              <a:ext uri="{FF2B5EF4-FFF2-40B4-BE49-F238E27FC236}">
                <a16:creationId xmlns:a16="http://schemas.microsoft.com/office/drawing/2014/main" id="{B71F9A8F-7DC7-45BC-8B85-676927511912}"/>
              </a:ext>
            </a:extLst>
          </xdr:cNvPr>
          <xdr:cNvSpPr txBox="1"/>
        </xdr:nvSpPr>
        <xdr:spPr>
          <a:xfrm>
            <a:off x="273688" y="1134532"/>
            <a:ext cx="1371600" cy="3471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2905AAB-1B23-429A-8C2A-AD0EBDA4A104}" type="TxLink">
              <a:rPr lang="en-US" sz="2000" b="0" i="0" u="none" strike="noStrike">
                <a:solidFill>
                  <a:schemeClr val="accent6">
                    <a:lumMod val="50000"/>
                  </a:schemeClr>
                </a:solidFill>
                <a:latin typeface="Calibri"/>
                <a:ea typeface="Calibri"/>
                <a:cs typeface="Calibri"/>
              </a:rPr>
              <a:pPr algn="ctr"/>
              <a:t>10</a:t>
            </a:fld>
            <a:endParaRPr lang="en-US" sz="4000">
              <a:solidFill>
                <a:schemeClr val="accent6">
                  <a:lumMod val="50000"/>
                </a:schemeClr>
              </a:solidFill>
            </a:endParaRPr>
          </a:p>
        </xdr:txBody>
      </xdr:sp>
      <xdr:sp macro="" textlink="">
        <xdr:nvSpPr>
          <xdr:cNvPr id="34" name="TextBox 33">
            <a:extLst>
              <a:ext uri="{FF2B5EF4-FFF2-40B4-BE49-F238E27FC236}">
                <a16:creationId xmlns:a16="http://schemas.microsoft.com/office/drawing/2014/main" id="{9C4BD0E3-A744-4E48-B365-A904523D1E1C}"/>
              </a:ext>
            </a:extLst>
          </xdr:cNvPr>
          <xdr:cNvSpPr txBox="1"/>
        </xdr:nvSpPr>
        <xdr:spPr>
          <a:xfrm>
            <a:off x="466884" y="867998"/>
            <a:ext cx="1324234"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accent6">
                    <a:lumMod val="75000"/>
                  </a:schemeClr>
                </a:solidFill>
                <a:latin typeface="Segoe UI Black" panose="020B0A02040204020203" pitchFamily="34" charset="0"/>
                <a:ea typeface="Segoe UI Black" panose="020B0A02040204020203" pitchFamily="34" charset="0"/>
              </a:rPr>
              <a:t>TOTAL STOCKS</a:t>
            </a:r>
          </a:p>
        </xdr:txBody>
      </xdr:sp>
      <xdr:pic>
        <xdr:nvPicPr>
          <xdr:cNvPr id="35" name="Graphic 34" descr="Bar graph with upward trend">
            <a:extLst>
              <a:ext uri="{FF2B5EF4-FFF2-40B4-BE49-F238E27FC236}">
                <a16:creationId xmlns:a16="http://schemas.microsoft.com/office/drawing/2014/main" id="{6B0965A0-8108-4B39-900D-17048FEEDA4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5281" y="854803"/>
            <a:ext cx="338666" cy="397934"/>
          </a:xfrm>
          <a:prstGeom prst="rect">
            <a:avLst/>
          </a:prstGeom>
        </xdr:spPr>
      </xdr:pic>
      <xdr:sp macro="" textlink="">
        <xdr:nvSpPr>
          <xdr:cNvPr id="36" name="TextBox 35">
            <a:extLst>
              <a:ext uri="{FF2B5EF4-FFF2-40B4-BE49-F238E27FC236}">
                <a16:creationId xmlns:a16="http://schemas.microsoft.com/office/drawing/2014/main" id="{030BEB8B-DFB9-4092-A762-B12C5B07E12E}"/>
              </a:ext>
            </a:extLst>
          </xdr:cNvPr>
          <xdr:cNvSpPr txBox="1"/>
        </xdr:nvSpPr>
        <xdr:spPr>
          <a:xfrm>
            <a:off x="583474" y="1468802"/>
            <a:ext cx="936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accent6">
                    <a:lumMod val="75000"/>
                  </a:schemeClr>
                </a:solidFill>
              </a:rPr>
              <a:t>Active Stocks</a:t>
            </a:r>
          </a:p>
        </xdr:txBody>
      </xdr:sp>
    </xdr:grpSp>
    <xdr:clientData/>
  </xdr:twoCellAnchor>
  <xdr:twoCellAnchor>
    <xdr:from>
      <xdr:col>2</xdr:col>
      <xdr:colOff>575996</xdr:colOff>
      <xdr:row>2</xdr:row>
      <xdr:rowOff>123555</xdr:rowOff>
    </xdr:from>
    <xdr:to>
      <xdr:col>4</xdr:col>
      <xdr:colOff>1006167</xdr:colOff>
      <xdr:row>5</xdr:row>
      <xdr:rowOff>123555</xdr:rowOff>
    </xdr:to>
    <xdr:sp macro="" textlink="Analysis!S68">
      <xdr:nvSpPr>
        <xdr:cNvPr id="49" name="Rectangle: Rounded Corners 48">
          <a:extLst>
            <a:ext uri="{FF2B5EF4-FFF2-40B4-BE49-F238E27FC236}">
              <a16:creationId xmlns:a16="http://schemas.microsoft.com/office/drawing/2014/main" id="{0A8FB836-BDCC-A190-24DB-79387E55EAC1}"/>
            </a:ext>
          </a:extLst>
        </xdr:cNvPr>
        <xdr:cNvSpPr/>
      </xdr:nvSpPr>
      <xdr:spPr>
        <a:xfrm>
          <a:off x="2013732" y="756159"/>
          <a:ext cx="2011680" cy="948905"/>
        </a:xfrm>
        <a:prstGeom prst="roundRect">
          <a:avLst/>
        </a:prstGeom>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200" b="1"/>
        </a:p>
      </xdr:txBody>
    </xdr:sp>
    <xdr:clientData/>
  </xdr:twoCellAnchor>
  <xdr:twoCellAnchor>
    <xdr:from>
      <xdr:col>5</xdr:col>
      <xdr:colOff>64238</xdr:colOff>
      <xdr:row>2</xdr:row>
      <xdr:rowOff>110065</xdr:rowOff>
    </xdr:from>
    <xdr:to>
      <xdr:col>6</xdr:col>
      <xdr:colOff>1026035</xdr:colOff>
      <xdr:row>5</xdr:row>
      <xdr:rowOff>110102</xdr:rowOff>
    </xdr:to>
    <xdr:sp macro="" textlink="Analysis!S68">
      <xdr:nvSpPr>
        <xdr:cNvPr id="55" name="Rectangle: Rounded Corners 54">
          <a:extLst>
            <a:ext uri="{FF2B5EF4-FFF2-40B4-BE49-F238E27FC236}">
              <a16:creationId xmlns:a16="http://schemas.microsoft.com/office/drawing/2014/main" id="{FCB256DB-4BFE-932A-26B9-DFA7A553F6C6}"/>
            </a:ext>
          </a:extLst>
        </xdr:cNvPr>
        <xdr:cNvSpPr/>
      </xdr:nvSpPr>
      <xdr:spPr>
        <a:xfrm>
          <a:off x="4152661" y="725527"/>
          <a:ext cx="1870336" cy="923229"/>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200" b="1"/>
        </a:p>
      </xdr:txBody>
    </xdr:sp>
    <xdr:clientData/>
  </xdr:twoCellAnchor>
  <xdr:twoCellAnchor>
    <xdr:from>
      <xdr:col>5</xdr:col>
      <xdr:colOff>141551</xdr:colOff>
      <xdr:row>3</xdr:row>
      <xdr:rowOff>126711</xdr:rowOff>
    </xdr:from>
    <xdr:to>
      <xdr:col>6</xdr:col>
      <xdr:colOff>1036550</xdr:colOff>
      <xdr:row>4</xdr:row>
      <xdr:rowOff>159994</xdr:rowOff>
    </xdr:to>
    <xdr:sp macro="" textlink="Analysis!C46">
      <xdr:nvSpPr>
        <xdr:cNvPr id="56" name="TextBox 55">
          <a:extLst>
            <a:ext uri="{FF2B5EF4-FFF2-40B4-BE49-F238E27FC236}">
              <a16:creationId xmlns:a16="http://schemas.microsoft.com/office/drawing/2014/main" id="{19A9D024-BD48-D961-945C-30DF5E1AA44B}"/>
            </a:ext>
          </a:extLst>
        </xdr:cNvPr>
        <xdr:cNvSpPr txBox="1"/>
      </xdr:nvSpPr>
      <xdr:spPr>
        <a:xfrm>
          <a:off x="4229974" y="1049903"/>
          <a:ext cx="1803538" cy="341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648940C-9076-4228-9BE8-258E66E44407}" type="TxLink">
            <a:rPr lang="en-US" sz="2000" b="0" i="0" u="none" strike="noStrike">
              <a:solidFill>
                <a:schemeClr val="accent4"/>
              </a:solidFill>
              <a:latin typeface="Calibri"/>
              <a:ea typeface="Calibri"/>
              <a:cs typeface="Calibri"/>
            </a:rPr>
            <a:pPr algn="ctr"/>
            <a:t>1801.86</a:t>
          </a:fld>
          <a:endParaRPr lang="en-US" sz="4000">
            <a:solidFill>
              <a:schemeClr val="accent4"/>
            </a:solidFill>
          </a:endParaRPr>
        </a:p>
      </xdr:txBody>
    </xdr:sp>
    <xdr:clientData/>
  </xdr:twoCellAnchor>
  <xdr:twoCellAnchor>
    <xdr:from>
      <xdr:col>5</xdr:col>
      <xdr:colOff>386476</xdr:colOff>
      <xdr:row>2</xdr:row>
      <xdr:rowOff>251460</xdr:rowOff>
    </xdr:from>
    <xdr:to>
      <xdr:col>6</xdr:col>
      <xdr:colOff>1170144</xdr:colOff>
      <xdr:row>3</xdr:row>
      <xdr:rowOff>235497</xdr:rowOff>
    </xdr:to>
    <xdr:sp macro="" textlink="">
      <xdr:nvSpPr>
        <xdr:cNvPr id="57" name="TextBox 56">
          <a:extLst>
            <a:ext uri="{FF2B5EF4-FFF2-40B4-BE49-F238E27FC236}">
              <a16:creationId xmlns:a16="http://schemas.microsoft.com/office/drawing/2014/main" id="{FED85DF5-0432-3D86-AC2D-AA995AD0F669}"/>
            </a:ext>
          </a:extLst>
        </xdr:cNvPr>
        <xdr:cNvSpPr txBox="1"/>
      </xdr:nvSpPr>
      <xdr:spPr>
        <a:xfrm>
          <a:off x="4474899" y="866922"/>
          <a:ext cx="1692207" cy="2917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rgbClr val="FFC000"/>
              </a:solidFill>
              <a:latin typeface="Segoe UI Black" panose="020B0A02040204020203" pitchFamily="34" charset="0"/>
              <a:ea typeface="Segoe UI Black" panose="020B0A02040204020203" pitchFamily="34" charset="0"/>
            </a:rPr>
            <a:t>HIGHEST PRICE</a:t>
          </a:r>
        </a:p>
      </xdr:txBody>
    </xdr:sp>
    <xdr:clientData/>
  </xdr:twoCellAnchor>
  <xdr:twoCellAnchor>
    <xdr:from>
      <xdr:col>5</xdr:col>
      <xdr:colOff>765201</xdr:colOff>
      <xdr:row>4</xdr:row>
      <xdr:rowOff>159994</xdr:rowOff>
    </xdr:from>
    <xdr:to>
      <xdr:col>6</xdr:col>
      <xdr:colOff>410415</xdr:colOff>
      <xdr:row>5</xdr:row>
      <xdr:rowOff>112158</xdr:rowOff>
    </xdr:to>
    <xdr:sp macro="" textlink="">
      <xdr:nvSpPr>
        <xdr:cNvPr id="59" name="TextBox 58">
          <a:extLst>
            <a:ext uri="{FF2B5EF4-FFF2-40B4-BE49-F238E27FC236}">
              <a16:creationId xmlns:a16="http://schemas.microsoft.com/office/drawing/2014/main" id="{D83F6614-F1DB-68E0-4D23-534E7B30B132}"/>
            </a:ext>
          </a:extLst>
        </xdr:cNvPr>
        <xdr:cNvSpPr txBox="1"/>
      </xdr:nvSpPr>
      <xdr:spPr>
        <a:xfrm>
          <a:off x="4853624" y="1390917"/>
          <a:ext cx="553753" cy="259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a:solidFill>
                <a:srgbClr val="FFC000"/>
              </a:solidFill>
            </a:rPr>
            <a:t>ASML</a:t>
          </a:r>
        </a:p>
      </xdr:txBody>
    </xdr:sp>
    <xdr:clientData/>
  </xdr:twoCellAnchor>
  <xdr:twoCellAnchor>
    <xdr:from>
      <xdr:col>6</xdr:col>
      <xdr:colOff>1094130</xdr:colOff>
      <xdr:row>2</xdr:row>
      <xdr:rowOff>120212</xdr:rowOff>
    </xdr:from>
    <xdr:to>
      <xdr:col>8</xdr:col>
      <xdr:colOff>345357</xdr:colOff>
      <xdr:row>5</xdr:row>
      <xdr:rowOff>120212</xdr:rowOff>
    </xdr:to>
    <xdr:sp macro="" textlink="Analysis!S68">
      <xdr:nvSpPr>
        <xdr:cNvPr id="61" name="Rectangle: Rounded Corners 60">
          <a:extLst>
            <a:ext uri="{FF2B5EF4-FFF2-40B4-BE49-F238E27FC236}">
              <a16:creationId xmlns:a16="http://schemas.microsoft.com/office/drawing/2014/main" id="{23F958D2-6B5D-49D3-7EF0-452519FB71C6}"/>
            </a:ext>
          </a:extLst>
        </xdr:cNvPr>
        <xdr:cNvSpPr/>
      </xdr:nvSpPr>
      <xdr:spPr>
        <a:xfrm>
          <a:off x="6068696" y="752816"/>
          <a:ext cx="2011680" cy="948905"/>
        </a:xfrm>
        <a:prstGeom prst="roundRect">
          <a:avLst/>
        </a:prstGeom>
        <a:effectLst>
          <a:outerShdw blurRad="50800" dist="38100" dir="5400000" algn="t"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200" b="1"/>
        </a:p>
      </xdr:txBody>
    </xdr:sp>
    <xdr:clientData/>
  </xdr:twoCellAnchor>
  <xdr:twoCellAnchor>
    <xdr:from>
      <xdr:col>6</xdr:col>
      <xdr:colOff>638774</xdr:colOff>
      <xdr:row>3</xdr:row>
      <xdr:rowOff>153278</xdr:rowOff>
    </xdr:from>
    <xdr:to>
      <xdr:col>8</xdr:col>
      <xdr:colOff>731216</xdr:colOff>
      <xdr:row>4</xdr:row>
      <xdr:rowOff>187146</xdr:rowOff>
    </xdr:to>
    <xdr:sp macro="" textlink="Analysis!D46">
      <xdr:nvSpPr>
        <xdr:cNvPr id="62" name="TextBox 61">
          <a:extLst>
            <a:ext uri="{FF2B5EF4-FFF2-40B4-BE49-F238E27FC236}">
              <a16:creationId xmlns:a16="http://schemas.microsoft.com/office/drawing/2014/main" id="{35896A24-1C26-F933-0A4A-922C44DC9405}"/>
            </a:ext>
          </a:extLst>
        </xdr:cNvPr>
        <xdr:cNvSpPr txBox="1"/>
      </xdr:nvSpPr>
      <xdr:spPr>
        <a:xfrm>
          <a:off x="5613340" y="1102184"/>
          <a:ext cx="2852895" cy="350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047B5B2-3729-4F64-86D7-68CE05C5783B}" type="TxLink">
            <a:rPr lang="en-US" sz="2000" b="0" i="0" u="none" strike="noStrike">
              <a:solidFill>
                <a:schemeClr val="bg1">
                  <a:lumMod val="50000"/>
                </a:schemeClr>
              </a:solidFill>
              <a:latin typeface="Calibri"/>
              <a:ea typeface="Calibri"/>
              <a:cs typeface="Calibri"/>
            </a:rPr>
            <a:pPr algn="ctr"/>
            <a:t>68.53</a:t>
          </a:fld>
          <a:endParaRPr lang="en-US" sz="4000">
            <a:solidFill>
              <a:schemeClr val="bg1">
                <a:lumMod val="50000"/>
              </a:schemeClr>
            </a:solidFill>
          </a:endParaRPr>
        </a:p>
      </xdr:txBody>
    </xdr:sp>
    <xdr:clientData/>
  </xdr:twoCellAnchor>
  <xdr:twoCellAnchor>
    <xdr:from>
      <xdr:col>7</xdr:col>
      <xdr:colOff>143773</xdr:colOff>
      <xdr:row>2</xdr:row>
      <xdr:rowOff>229480</xdr:rowOff>
    </xdr:from>
    <xdr:to>
      <xdr:col>8</xdr:col>
      <xdr:colOff>316300</xdr:colOff>
      <xdr:row>3</xdr:row>
      <xdr:rowOff>215660</xdr:rowOff>
    </xdr:to>
    <xdr:sp macro="" textlink="">
      <xdr:nvSpPr>
        <xdr:cNvPr id="63" name="TextBox 62">
          <a:extLst>
            <a:ext uri="{FF2B5EF4-FFF2-40B4-BE49-F238E27FC236}">
              <a16:creationId xmlns:a16="http://schemas.microsoft.com/office/drawing/2014/main" id="{43A79D6A-48F9-B799-146E-F5F119020164}"/>
            </a:ext>
          </a:extLst>
        </xdr:cNvPr>
        <xdr:cNvSpPr txBox="1"/>
      </xdr:nvSpPr>
      <xdr:spPr>
        <a:xfrm>
          <a:off x="6541698" y="862084"/>
          <a:ext cx="1509621" cy="302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bg1">
                  <a:lumMod val="50000"/>
                </a:schemeClr>
              </a:solidFill>
              <a:latin typeface="Segoe UI Black" panose="020B0A02040204020203" pitchFamily="34" charset="0"/>
              <a:ea typeface="Segoe UI Black" panose="020B0A02040204020203" pitchFamily="34" charset="0"/>
            </a:rPr>
            <a:t>LOWEST PRICE</a:t>
          </a:r>
        </a:p>
      </xdr:txBody>
    </xdr:sp>
    <xdr:clientData/>
  </xdr:twoCellAnchor>
  <xdr:twoCellAnchor>
    <xdr:from>
      <xdr:col>7</xdr:col>
      <xdr:colOff>490687</xdr:colOff>
      <xdr:row>4</xdr:row>
      <xdr:rowOff>140578</xdr:rowOff>
    </xdr:from>
    <xdr:to>
      <xdr:col>8</xdr:col>
      <xdr:colOff>482886</xdr:colOff>
      <xdr:row>5</xdr:row>
      <xdr:rowOff>74940</xdr:rowOff>
    </xdr:to>
    <xdr:sp macro="" textlink="">
      <xdr:nvSpPr>
        <xdr:cNvPr id="65" name="TextBox 64">
          <a:extLst>
            <a:ext uri="{FF2B5EF4-FFF2-40B4-BE49-F238E27FC236}">
              <a16:creationId xmlns:a16="http://schemas.microsoft.com/office/drawing/2014/main" id="{1EF9EA06-99E2-EA60-C377-2ECAC2034DD1}"/>
            </a:ext>
          </a:extLst>
        </xdr:cNvPr>
        <xdr:cNvSpPr txBox="1"/>
      </xdr:nvSpPr>
      <xdr:spPr>
        <a:xfrm>
          <a:off x="6888612" y="1405786"/>
          <a:ext cx="1329293" cy="2506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lumMod val="50000"/>
                </a:schemeClr>
              </a:solidFill>
            </a:rPr>
            <a:t>NFLX</a:t>
          </a:r>
        </a:p>
      </xdr:txBody>
    </xdr:sp>
    <xdr:clientData/>
  </xdr:twoCellAnchor>
  <xdr:twoCellAnchor>
    <xdr:from>
      <xdr:col>8</xdr:col>
      <xdr:colOff>421403</xdr:colOff>
      <xdr:row>2</xdr:row>
      <xdr:rowOff>115098</xdr:rowOff>
    </xdr:from>
    <xdr:to>
      <xdr:col>9</xdr:col>
      <xdr:colOff>851574</xdr:colOff>
      <xdr:row>5</xdr:row>
      <xdr:rowOff>115098</xdr:rowOff>
    </xdr:to>
    <xdr:sp macro="" textlink="Analysis!S68">
      <xdr:nvSpPr>
        <xdr:cNvPr id="67" name="Rectangle: Rounded Corners 66">
          <a:extLst>
            <a:ext uri="{FF2B5EF4-FFF2-40B4-BE49-F238E27FC236}">
              <a16:creationId xmlns:a16="http://schemas.microsoft.com/office/drawing/2014/main" id="{0457C6B8-D5FB-FE02-ED6C-27DF19534908}"/>
            </a:ext>
          </a:extLst>
        </xdr:cNvPr>
        <xdr:cNvSpPr/>
      </xdr:nvSpPr>
      <xdr:spPr>
        <a:xfrm>
          <a:off x="8156422" y="747702"/>
          <a:ext cx="2011680" cy="948905"/>
        </a:xfrm>
        <a:prstGeom prst="roundRect">
          <a:avLst/>
        </a:prstGeom>
        <a:effectLst>
          <a:outerShdw blurRad="50800" dist="38100" dir="5400000" algn="t"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200" b="1"/>
        </a:p>
      </xdr:txBody>
    </xdr:sp>
    <xdr:clientData/>
  </xdr:twoCellAnchor>
  <xdr:twoCellAnchor>
    <xdr:from>
      <xdr:col>8</xdr:col>
      <xdr:colOff>787536</xdr:colOff>
      <xdr:row>3</xdr:row>
      <xdr:rowOff>140496</xdr:rowOff>
    </xdr:from>
    <xdr:to>
      <xdr:col>9</xdr:col>
      <xdr:colOff>374777</xdr:colOff>
      <xdr:row>4</xdr:row>
      <xdr:rowOff>174364</xdr:rowOff>
    </xdr:to>
    <xdr:sp macro="" textlink="Analysis!E46">
      <xdr:nvSpPr>
        <xdr:cNvPr id="68" name="TextBox 67">
          <a:extLst>
            <a:ext uri="{FF2B5EF4-FFF2-40B4-BE49-F238E27FC236}">
              <a16:creationId xmlns:a16="http://schemas.microsoft.com/office/drawing/2014/main" id="{ED9EB045-C09B-6CE2-E64E-E30142C85F78}"/>
            </a:ext>
          </a:extLst>
        </xdr:cNvPr>
        <xdr:cNvSpPr txBox="1"/>
      </xdr:nvSpPr>
      <xdr:spPr>
        <a:xfrm>
          <a:off x="8522555" y="1089402"/>
          <a:ext cx="1168750" cy="350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1AF9C7F3-CEF6-49CD-9808-74BB44698C51}" type="TxLink">
            <a:rPr lang="en-US" sz="2000" b="0" i="0" u="none" strike="noStrike">
              <a:solidFill>
                <a:srgbClr val="FF6600"/>
              </a:solidFill>
              <a:latin typeface="Calibri"/>
              <a:ea typeface="Calibri"/>
              <a:cs typeface="Calibri"/>
            </a:rPr>
            <a:pPr algn="ctr"/>
            <a:t>-0.52911</a:t>
          </a:fld>
          <a:endParaRPr lang="en-US" sz="4000">
            <a:solidFill>
              <a:srgbClr val="FF6600"/>
            </a:solidFill>
          </a:endParaRPr>
        </a:p>
      </xdr:txBody>
    </xdr:sp>
    <xdr:clientData/>
  </xdr:twoCellAnchor>
  <xdr:twoCellAnchor>
    <xdr:from>
      <xdr:col>8</xdr:col>
      <xdr:colOff>990207</xdr:colOff>
      <xdr:row>2</xdr:row>
      <xdr:rowOff>223488</xdr:rowOff>
    </xdr:from>
    <xdr:to>
      <xdr:col>9</xdr:col>
      <xdr:colOff>561787</xdr:colOff>
      <xdr:row>3</xdr:row>
      <xdr:rowOff>149380</xdr:rowOff>
    </xdr:to>
    <xdr:sp macro="" textlink="">
      <xdr:nvSpPr>
        <xdr:cNvPr id="69" name="TextBox 68">
          <a:extLst>
            <a:ext uri="{FF2B5EF4-FFF2-40B4-BE49-F238E27FC236}">
              <a16:creationId xmlns:a16="http://schemas.microsoft.com/office/drawing/2014/main" id="{EB6CEA86-FBB4-A32A-E2D2-AB91CA56C414}"/>
            </a:ext>
          </a:extLst>
        </xdr:cNvPr>
        <xdr:cNvSpPr txBox="1"/>
      </xdr:nvSpPr>
      <xdr:spPr>
        <a:xfrm>
          <a:off x="8725226" y="856092"/>
          <a:ext cx="1153089" cy="242194"/>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rgbClr val="FF6600"/>
              </a:solidFill>
              <a:effectLst/>
              <a:latin typeface="Segoe UI Black" panose="020B0A02040204020203" pitchFamily="34" charset="0"/>
              <a:ea typeface="Segoe UI Black" panose="020B0A02040204020203" pitchFamily="34" charset="0"/>
              <a:cs typeface="+mn-cs"/>
            </a:rPr>
            <a:t>AVERAGE</a:t>
          </a:r>
          <a:r>
            <a:rPr lang="en-US" sz="1200" b="1">
              <a:solidFill>
                <a:srgbClr val="FF6600"/>
              </a:solidFill>
              <a:effectLst/>
              <a:latin typeface="+mn-lt"/>
              <a:ea typeface="+mn-ea"/>
              <a:cs typeface="+mn-cs"/>
            </a:rPr>
            <a:t> CHANGE%</a:t>
          </a:r>
          <a:endParaRPr lang="en-US" sz="1200">
            <a:solidFill>
              <a:srgbClr val="FF6600"/>
            </a:solidFill>
            <a:effectLst/>
          </a:endParaRPr>
        </a:p>
      </xdr:txBody>
    </xdr:sp>
    <xdr:clientData/>
  </xdr:twoCellAnchor>
  <xdr:twoCellAnchor>
    <xdr:from>
      <xdr:col>8</xdr:col>
      <xdr:colOff>979630</xdr:colOff>
      <xdr:row>4</xdr:row>
      <xdr:rowOff>188742</xdr:rowOff>
    </xdr:from>
    <xdr:to>
      <xdr:col>9</xdr:col>
      <xdr:colOff>378268</xdr:colOff>
      <xdr:row>5</xdr:row>
      <xdr:rowOff>146410</xdr:rowOff>
    </xdr:to>
    <xdr:sp macro="" textlink="">
      <xdr:nvSpPr>
        <xdr:cNvPr id="71" name="TextBox 70">
          <a:extLst>
            <a:ext uri="{FF2B5EF4-FFF2-40B4-BE49-F238E27FC236}">
              <a16:creationId xmlns:a16="http://schemas.microsoft.com/office/drawing/2014/main" id="{D8D7C389-DC73-9BEE-8863-235C236E4733}"/>
            </a:ext>
          </a:extLst>
        </xdr:cNvPr>
        <xdr:cNvSpPr txBox="1"/>
      </xdr:nvSpPr>
      <xdr:spPr>
        <a:xfrm>
          <a:off x="8714649" y="1453950"/>
          <a:ext cx="980147" cy="273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rgbClr val="FF6600"/>
              </a:solidFill>
            </a:rPr>
            <a:t>Average</a:t>
          </a:r>
          <a:r>
            <a:rPr lang="en-US" sz="1100" baseline="0">
              <a:solidFill>
                <a:srgbClr val="FF6600"/>
              </a:solidFill>
            </a:rPr>
            <a:t> Change</a:t>
          </a:r>
          <a:endParaRPr lang="en-US" sz="1100">
            <a:solidFill>
              <a:srgbClr val="FF6600"/>
            </a:solidFill>
          </a:endParaRPr>
        </a:p>
      </xdr:txBody>
    </xdr:sp>
    <xdr:clientData/>
  </xdr:twoCellAnchor>
  <xdr:twoCellAnchor>
    <xdr:from>
      <xdr:col>9</xdr:col>
      <xdr:colOff>905142</xdr:colOff>
      <xdr:row>2</xdr:row>
      <xdr:rowOff>100720</xdr:rowOff>
    </xdr:from>
    <xdr:to>
      <xdr:col>12</xdr:col>
      <xdr:colOff>803350</xdr:colOff>
      <xdr:row>5</xdr:row>
      <xdr:rowOff>100720</xdr:rowOff>
    </xdr:to>
    <xdr:sp macro="" textlink="Analysis!S68">
      <xdr:nvSpPr>
        <xdr:cNvPr id="73" name="Rectangle: Rounded Corners 72">
          <a:extLst>
            <a:ext uri="{FF2B5EF4-FFF2-40B4-BE49-F238E27FC236}">
              <a16:creationId xmlns:a16="http://schemas.microsoft.com/office/drawing/2014/main" id="{23CBE644-1A4E-642E-988A-7FFFA298A8D7}"/>
            </a:ext>
          </a:extLst>
        </xdr:cNvPr>
        <xdr:cNvSpPr/>
      </xdr:nvSpPr>
      <xdr:spPr>
        <a:xfrm>
          <a:off x="10221670" y="733324"/>
          <a:ext cx="2011680" cy="948905"/>
        </a:xfrm>
        <a:prstGeom prst="roundRect">
          <a:avLst/>
        </a:prstGeom>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200" b="1"/>
        </a:p>
      </xdr:txBody>
    </xdr:sp>
    <xdr:clientData/>
  </xdr:twoCellAnchor>
  <xdr:twoCellAnchor>
    <xdr:from>
      <xdr:col>9</xdr:col>
      <xdr:colOff>1180478</xdr:colOff>
      <xdr:row>3</xdr:row>
      <xdr:rowOff>87219</xdr:rowOff>
    </xdr:from>
    <xdr:to>
      <xdr:col>12</xdr:col>
      <xdr:colOff>665929</xdr:colOff>
      <xdr:row>4</xdr:row>
      <xdr:rowOff>121087</xdr:rowOff>
    </xdr:to>
    <xdr:sp macro="" textlink="Analysis!F46">
      <xdr:nvSpPr>
        <xdr:cNvPr id="74" name="TextBox 73">
          <a:extLst>
            <a:ext uri="{FF2B5EF4-FFF2-40B4-BE49-F238E27FC236}">
              <a16:creationId xmlns:a16="http://schemas.microsoft.com/office/drawing/2014/main" id="{2D2DEBDE-D91D-B2E8-D44E-2960B9CD1D5B}"/>
            </a:ext>
          </a:extLst>
        </xdr:cNvPr>
        <xdr:cNvSpPr txBox="1"/>
      </xdr:nvSpPr>
      <xdr:spPr>
        <a:xfrm>
          <a:off x="10497006" y="1036125"/>
          <a:ext cx="1598923" cy="350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E4A416E-2802-4CA4-B590-E73B0F64572B}" type="TxLink">
            <a:rPr lang="en-US" sz="1800" b="0" i="0" u="none" strike="noStrike">
              <a:solidFill>
                <a:srgbClr val="000000"/>
              </a:solidFill>
              <a:latin typeface="Calibri"/>
              <a:ea typeface="Calibri"/>
              <a:cs typeface="Calibri"/>
            </a:rPr>
            <a:pPr algn="ctr"/>
            <a:t>390,387,953.00</a:t>
          </a:fld>
          <a:endParaRPr lang="en-US" sz="3600">
            <a:solidFill>
              <a:schemeClr val="accent6">
                <a:lumMod val="75000"/>
              </a:schemeClr>
            </a:solidFill>
          </a:endParaRPr>
        </a:p>
      </xdr:txBody>
    </xdr:sp>
    <xdr:clientData/>
  </xdr:twoCellAnchor>
  <xdr:twoCellAnchor>
    <xdr:from>
      <xdr:col>10</xdr:col>
      <xdr:colOff>65612</xdr:colOff>
      <xdr:row>2</xdr:row>
      <xdr:rowOff>204877</xdr:rowOff>
    </xdr:from>
    <xdr:to>
      <xdr:col>12</xdr:col>
      <xdr:colOff>679208</xdr:colOff>
      <xdr:row>3</xdr:row>
      <xdr:rowOff>171558</xdr:rowOff>
    </xdr:to>
    <xdr:sp macro="" textlink="">
      <xdr:nvSpPr>
        <xdr:cNvPr id="75" name="TextBox 74">
          <a:extLst>
            <a:ext uri="{FF2B5EF4-FFF2-40B4-BE49-F238E27FC236}">
              <a16:creationId xmlns:a16="http://schemas.microsoft.com/office/drawing/2014/main" id="{045C1905-FD41-BE7F-D8F9-5A2F0E2ABF93}"/>
            </a:ext>
          </a:extLst>
        </xdr:cNvPr>
        <xdr:cNvSpPr txBox="1"/>
      </xdr:nvSpPr>
      <xdr:spPr>
        <a:xfrm>
          <a:off x="10618593" y="837481"/>
          <a:ext cx="1490615" cy="282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ysClr val="windowText" lastClr="000000"/>
              </a:solidFill>
              <a:latin typeface="Segoe UI Black" panose="020B0A02040204020203" pitchFamily="34" charset="0"/>
              <a:ea typeface="Segoe UI Black" panose="020B0A02040204020203" pitchFamily="34" charset="0"/>
            </a:rPr>
            <a:t>TOTAL VOLUME</a:t>
          </a:r>
        </a:p>
      </xdr:txBody>
    </xdr:sp>
    <xdr:clientData/>
  </xdr:twoCellAnchor>
  <xdr:twoCellAnchor>
    <xdr:from>
      <xdr:col>10</xdr:col>
      <xdr:colOff>188104</xdr:colOff>
      <xdr:row>4</xdr:row>
      <xdr:rowOff>137141</xdr:rowOff>
    </xdr:from>
    <xdr:to>
      <xdr:col>12</xdr:col>
      <xdr:colOff>781939</xdr:colOff>
      <xdr:row>5</xdr:row>
      <xdr:rowOff>120210</xdr:rowOff>
    </xdr:to>
    <xdr:sp macro="" textlink="">
      <xdr:nvSpPr>
        <xdr:cNvPr id="77" name="TextBox 76">
          <a:extLst>
            <a:ext uri="{FF2B5EF4-FFF2-40B4-BE49-F238E27FC236}">
              <a16:creationId xmlns:a16="http://schemas.microsoft.com/office/drawing/2014/main" id="{CBBA2638-3DCE-7748-D75D-1A5AE45726BA}"/>
            </a:ext>
          </a:extLst>
        </xdr:cNvPr>
        <xdr:cNvSpPr txBox="1"/>
      </xdr:nvSpPr>
      <xdr:spPr>
        <a:xfrm>
          <a:off x="10741085" y="1402349"/>
          <a:ext cx="1470854" cy="299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ysClr val="windowText" lastClr="000000"/>
              </a:solidFill>
            </a:rPr>
            <a:t>Total Shares Traded</a:t>
          </a:r>
        </a:p>
      </xdr:txBody>
    </xdr:sp>
    <xdr:clientData/>
  </xdr:twoCellAnchor>
  <xdr:twoCellAnchor>
    <xdr:from>
      <xdr:col>13</xdr:col>
      <xdr:colOff>54241</xdr:colOff>
      <xdr:row>2</xdr:row>
      <xdr:rowOff>102400</xdr:rowOff>
    </xdr:from>
    <xdr:to>
      <xdr:col>16</xdr:col>
      <xdr:colOff>675736</xdr:colOff>
      <xdr:row>5</xdr:row>
      <xdr:rowOff>121427</xdr:rowOff>
    </xdr:to>
    <xdr:grpSp>
      <xdr:nvGrpSpPr>
        <xdr:cNvPr id="84" name="Group 83">
          <a:extLst>
            <a:ext uri="{FF2B5EF4-FFF2-40B4-BE49-F238E27FC236}">
              <a16:creationId xmlns:a16="http://schemas.microsoft.com/office/drawing/2014/main" id="{7B1B9B8E-444B-4F93-9910-260F259BA17C}"/>
            </a:ext>
          </a:extLst>
        </xdr:cNvPr>
        <xdr:cNvGrpSpPr/>
      </xdr:nvGrpSpPr>
      <xdr:grpSpPr>
        <a:xfrm>
          <a:off x="12309741" y="737400"/>
          <a:ext cx="2272495" cy="971527"/>
          <a:chOff x="-20779" y="838200"/>
          <a:chExt cx="1693069" cy="958827"/>
        </a:xfrm>
        <a:effectLst>
          <a:outerShdw blurRad="50800" dist="38100" dir="5400000" algn="t" rotWithShape="0">
            <a:prstClr val="black">
              <a:alpha val="40000"/>
            </a:prstClr>
          </a:outerShdw>
        </a:effectLst>
      </xdr:grpSpPr>
      <xdr:sp macro="" textlink="Analysis!S68">
        <xdr:nvSpPr>
          <xdr:cNvPr id="85" name="Rectangle: Rounded Corners 84">
            <a:extLst>
              <a:ext uri="{FF2B5EF4-FFF2-40B4-BE49-F238E27FC236}">
                <a16:creationId xmlns:a16="http://schemas.microsoft.com/office/drawing/2014/main" id="{7C557858-797C-EDAA-C731-8870FD89CDEA}"/>
              </a:ext>
            </a:extLst>
          </xdr:cNvPr>
          <xdr:cNvSpPr/>
        </xdr:nvSpPr>
        <xdr:spPr>
          <a:xfrm>
            <a:off x="-20779" y="838200"/>
            <a:ext cx="1562914" cy="9398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200" b="1"/>
          </a:p>
        </xdr:txBody>
      </xdr:sp>
      <xdr:sp macro="" textlink="Analysis!H46">
        <xdr:nvSpPr>
          <xdr:cNvPr id="86" name="TextBox 85">
            <a:extLst>
              <a:ext uri="{FF2B5EF4-FFF2-40B4-BE49-F238E27FC236}">
                <a16:creationId xmlns:a16="http://schemas.microsoft.com/office/drawing/2014/main" id="{41160AC0-B76B-33CA-8664-1B9F5A02D029}"/>
              </a:ext>
            </a:extLst>
          </xdr:cNvPr>
          <xdr:cNvSpPr txBox="1"/>
        </xdr:nvSpPr>
        <xdr:spPr>
          <a:xfrm>
            <a:off x="-16351" y="1134532"/>
            <a:ext cx="1409669" cy="3471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A1C774D0-02BC-4675-9E5C-AC4CEC77E4DD}" type="TxLink">
              <a:rPr lang="en-US" sz="2000" b="0" i="0" u="none" strike="noStrike">
                <a:solidFill>
                  <a:schemeClr val="accent1">
                    <a:lumMod val="75000"/>
                  </a:schemeClr>
                </a:solidFill>
                <a:latin typeface="Calibri"/>
                <a:ea typeface="Calibri"/>
                <a:cs typeface="Calibri"/>
              </a:rPr>
              <a:pPr algn="ctr"/>
              <a:t>3</a:t>
            </a:fld>
            <a:endParaRPr lang="en-US" sz="6600">
              <a:solidFill>
                <a:schemeClr val="accent1">
                  <a:lumMod val="75000"/>
                </a:schemeClr>
              </a:solidFill>
            </a:endParaRPr>
          </a:p>
        </xdr:txBody>
      </xdr:sp>
      <xdr:sp macro="" textlink="">
        <xdr:nvSpPr>
          <xdr:cNvPr id="87" name="TextBox 86">
            <a:extLst>
              <a:ext uri="{FF2B5EF4-FFF2-40B4-BE49-F238E27FC236}">
                <a16:creationId xmlns:a16="http://schemas.microsoft.com/office/drawing/2014/main" id="{24FBEB55-F695-F329-E95E-61817C9B9E26}"/>
              </a:ext>
            </a:extLst>
          </xdr:cNvPr>
          <xdr:cNvSpPr txBox="1"/>
        </xdr:nvSpPr>
        <xdr:spPr>
          <a:xfrm>
            <a:off x="385358" y="926842"/>
            <a:ext cx="1286932" cy="2878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rgbClr val="0000CC"/>
                </a:solidFill>
                <a:latin typeface="Segoe UI Black" panose="020B0A02040204020203" pitchFamily="34" charset="0"/>
                <a:ea typeface="Segoe UI Black" panose="020B0A02040204020203" pitchFamily="34" charset="0"/>
              </a:rPr>
              <a:t>GAINERS</a:t>
            </a:r>
          </a:p>
          <a:p>
            <a:endParaRPr lang="en-US" sz="1200" b="1">
              <a:solidFill>
                <a:srgbClr val="0000CC"/>
              </a:solidFill>
              <a:latin typeface="Segoe UI Black" panose="020B0A02040204020203" pitchFamily="34" charset="0"/>
              <a:ea typeface="Segoe UI Black" panose="020B0A02040204020203" pitchFamily="34" charset="0"/>
            </a:endParaRPr>
          </a:p>
        </xdr:txBody>
      </xdr:sp>
      <xdr:pic>
        <xdr:nvPicPr>
          <xdr:cNvPr id="88" name="Graphic 87" descr="Bar graph with upward trend">
            <a:extLst>
              <a:ext uri="{FF2B5EF4-FFF2-40B4-BE49-F238E27FC236}">
                <a16:creationId xmlns:a16="http://schemas.microsoft.com/office/drawing/2014/main" id="{D6A78B99-2C5F-C31C-E3F1-BBE444AC92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484" y="872066"/>
            <a:ext cx="338666" cy="397934"/>
          </a:xfrm>
          <a:prstGeom prst="rect">
            <a:avLst/>
          </a:prstGeom>
        </xdr:spPr>
      </xdr:pic>
      <xdr:sp macro="" textlink="">
        <xdr:nvSpPr>
          <xdr:cNvPr id="89" name="TextBox 88">
            <a:extLst>
              <a:ext uri="{FF2B5EF4-FFF2-40B4-BE49-F238E27FC236}">
                <a16:creationId xmlns:a16="http://schemas.microsoft.com/office/drawing/2014/main" id="{570034DE-8ACE-7BCE-D4B1-8573D60C187A}"/>
              </a:ext>
            </a:extLst>
          </xdr:cNvPr>
          <xdr:cNvSpPr txBox="1"/>
        </xdr:nvSpPr>
        <xdr:spPr>
          <a:xfrm>
            <a:off x="347133" y="1532467"/>
            <a:ext cx="62776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0000CC"/>
                </a:solidFill>
              </a:rPr>
              <a:t>Stocks</a:t>
            </a:r>
            <a:r>
              <a:rPr lang="en-US" sz="1100" baseline="0">
                <a:solidFill>
                  <a:srgbClr val="0000CC"/>
                </a:solidFill>
              </a:rPr>
              <a:t> Up</a:t>
            </a:r>
            <a:endParaRPr lang="en-US" sz="1100">
              <a:solidFill>
                <a:srgbClr val="0000CC"/>
              </a:solidFill>
            </a:endParaRPr>
          </a:p>
        </xdr:txBody>
      </xdr:sp>
    </xdr:grpSp>
    <xdr:clientData/>
  </xdr:twoCellAnchor>
  <xdr:twoCellAnchor>
    <xdr:from>
      <xdr:col>16</xdr:col>
      <xdr:colOff>577816</xdr:colOff>
      <xdr:row>2</xdr:row>
      <xdr:rowOff>83844</xdr:rowOff>
    </xdr:from>
    <xdr:to>
      <xdr:col>19</xdr:col>
      <xdr:colOff>461647</xdr:colOff>
      <xdr:row>5</xdr:row>
      <xdr:rowOff>108901</xdr:rowOff>
    </xdr:to>
    <xdr:grpSp>
      <xdr:nvGrpSpPr>
        <xdr:cNvPr id="90" name="Group 89">
          <a:extLst>
            <a:ext uri="{FF2B5EF4-FFF2-40B4-BE49-F238E27FC236}">
              <a16:creationId xmlns:a16="http://schemas.microsoft.com/office/drawing/2014/main" id="{1B822954-C41C-45EA-8388-46D7EE51E988}"/>
            </a:ext>
          </a:extLst>
        </xdr:cNvPr>
        <xdr:cNvGrpSpPr/>
      </xdr:nvGrpSpPr>
      <xdr:grpSpPr>
        <a:xfrm>
          <a:off x="14484316" y="718844"/>
          <a:ext cx="2017431" cy="977557"/>
          <a:chOff x="-30692" y="725045"/>
          <a:chExt cx="2025058" cy="963935"/>
        </a:xfrm>
      </xdr:grpSpPr>
      <xdr:sp macro="" textlink="Analysis!S68">
        <xdr:nvSpPr>
          <xdr:cNvPr id="91" name="Rectangle: Rounded Corners 90">
            <a:extLst>
              <a:ext uri="{FF2B5EF4-FFF2-40B4-BE49-F238E27FC236}">
                <a16:creationId xmlns:a16="http://schemas.microsoft.com/office/drawing/2014/main" id="{2B316E38-04BA-D38E-D749-3329F72B12F4}"/>
              </a:ext>
            </a:extLst>
          </xdr:cNvPr>
          <xdr:cNvSpPr/>
        </xdr:nvSpPr>
        <xdr:spPr>
          <a:xfrm>
            <a:off x="-30692" y="725045"/>
            <a:ext cx="2025058" cy="939800"/>
          </a:xfrm>
          <a:prstGeom prst="roundRect">
            <a:avLst/>
          </a:prstGeom>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200" b="1"/>
          </a:p>
        </xdr:txBody>
      </xdr:sp>
      <xdr:sp macro="" textlink="Analysis!I46">
        <xdr:nvSpPr>
          <xdr:cNvPr id="92" name="TextBox 91">
            <a:extLst>
              <a:ext uri="{FF2B5EF4-FFF2-40B4-BE49-F238E27FC236}">
                <a16:creationId xmlns:a16="http://schemas.microsoft.com/office/drawing/2014/main" id="{395CE2ED-7857-9ABA-9F26-F5EB55B06725}"/>
              </a:ext>
            </a:extLst>
          </xdr:cNvPr>
          <xdr:cNvSpPr txBox="1"/>
        </xdr:nvSpPr>
        <xdr:spPr>
          <a:xfrm>
            <a:off x="316898" y="1089843"/>
            <a:ext cx="1371600" cy="3471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C517F88-658C-4B23-B241-5CCA51919170}" type="TxLink">
              <a:rPr lang="en-US" sz="2000" b="0" i="0" u="none" strike="noStrike">
                <a:solidFill>
                  <a:schemeClr val="accent6">
                    <a:lumMod val="50000"/>
                  </a:schemeClr>
                </a:solidFill>
                <a:latin typeface="Calibri"/>
                <a:ea typeface="Calibri"/>
                <a:cs typeface="Calibri"/>
              </a:rPr>
              <a:pPr algn="ctr"/>
              <a:t>7</a:t>
            </a:fld>
            <a:endParaRPr lang="en-US" sz="6600">
              <a:solidFill>
                <a:schemeClr val="accent6">
                  <a:lumMod val="50000"/>
                </a:schemeClr>
              </a:solidFill>
            </a:endParaRPr>
          </a:p>
        </xdr:txBody>
      </xdr:sp>
      <xdr:sp macro="" textlink="">
        <xdr:nvSpPr>
          <xdr:cNvPr id="93" name="TextBox 92">
            <a:extLst>
              <a:ext uri="{FF2B5EF4-FFF2-40B4-BE49-F238E27FC236}">
                <a16:creationId xmlns:a16="http://schemas.microsoft.com/office/drawing/2014/main" id="{33D9350B-6981-2EB5-0954-9C373D84365F}"/>
              </a:ext>
            </a:extLst>
          </xdr:cNvPr>
          <xdr:cNvSpPr txBox="1"/>
        </xdr:nvSpPr>
        <xdr:spPr>
          <a:xfrm>
            <a:off x="663124" y="850063"/>
            <a:ext cx="1129729"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accent6">
                    <a:lumMod val="75000"/>
                  </a:schemeClr>
                </a:solidFill>
                <a:latin typeface="Segoe UI Black" panose="020B0A02040204020203" pitchFamily="34" charset="0"/>
                <a:ea typeface="Segoe UI Black" panose="020B0A02040204020203" pitchFamily="34" charset="0"/>
              </a:rPr>
              <a:t>LOSERS</a:t>
            </a:r>
          </a:p>
        </xdr:txBody>
      </xdr:sp>
      <xdr:sp macro="" textlink="">
        <xdr:nvSpPr>
          <xdr:cNvPr id="95" name="TextBox 94">
            <a:extLst>
              <a:ext uri="{FF2B5EF4-FFF2-40B4-BE49-F238E27FC236}">
                <a16:creationId xmlns:a16="http://schemas.microsoft.com/office/drawing/2014/main" id="{490287D3-9A6F-AFAD-1145-034955A1C5AA}"/>
              </a:ext>
            </a:extLst>
          </xdr:cNvPr>
          <xdr:cNvSpPr txBox="1"/>
        </xdr:nvSpPr>
        <xdr:spPr>
          <a:xfrm>
            <a:off x="586889" y="1420044"/>
            <a:ext cx="1119340" cy="268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accent6">
                    <a:lumMod val="75000"/>
                  </a:schemeClr>
                </a:solidFill>
              </a:rPr>
              <a:t>Stocks</a:t>
            </a:r>
            <a:r>
              <a:rPr lang="en-US" sz="1100" baseline="0">
                <a:solidFill>
                  <a:schemeClr val="accent6">
                    <a:lumMod val="75000"/>
                  </a:schemeClr>
                </a:solidFill>
              </a:rPr>
              <a:t> Down</a:t>
            </a:r>
            <a:endParaRPr lang="en-US" sz="1100">
              <a:solidFill>
                <a:schemeClr val="accent6">
                  <a:lumMod val="75000"/>
                </a:schemeClr>
              </a:solidFill>
            </a:endParaRPr>
          </a:p>
        </xdr:txBody>
      </xdr:sp>
    </xdr:grpSp>
    <xdr:clientData/>
  </xdr:twoCellAnchor>
  <xdr:twoCellAnchor>
    <xdr:from>
      <xdr:col>2</xdr:col>
      <xdr:colOff>582922</xdr:colOff>
      <xdr:row>2</xdr:row>
      <xdr:rowOff>196410</xdr:rowOff>
    </xdr:from>
    <xdr:to>
      <xdr:col>5</xdr:col>
      <xdr:colOff>204625</xdr:colOff>
      <xdr:row>5</xdr:row>
      <xdr:rowOff>107047</xdr:rowOff>
    </xdr:to>
    <xdr:grpSp>
      <xdr:nvGrpSpPr>
        <xdr:cNvPr id="98" name="Group 97">
          <a:extLst>
            <a:ext uri="{FF2B5EF4-FFF2-40B4-BE49-F238E27FC236}">
              <a16:creationId xmlns:a16="http://schemas.microsoft.com/office/drawing/2014/main" id="{E4A9DEB6-FF09-A659-9E83-794E70649881}"/>
            </a:ext>
          </a:extLst>
        </xdr:cNvPr>
        <xdr:cNvGrpSpPr/>
      </xdr:nvGrpSpPr>
      <xdr:grpSpPr>
        <a:xfrm>
          <a:off x="2030722" y="831410"/>
          <a:ext cx="2250603" cy="863137"/>
          <a:chOff x="1628049" y="894347"/>
          <a:chExt cx="1626287" cy="849675"/>
        </a:xfrm>
      </xdr:grpSpPr>
      <xdr:sp macro="" textlink="Analysis!B46">
        <xdr:nvSpPr>
          <xdr:cNvPr id="50" name="TextBox 49">
            <a:extLst>
              <a:ext uri="{FF2B5EF4-FFF2-40B4-BE49-F238E27FC236}">
                <a16:creationId xmlns:a16="http://schemas.microsoft.com/office/drawing/2014/main" id="{0DE21227-6108-EFEE-DBA1-36B8188A177A}"/>
              </a:ext>
            </a:extLst>
          </xdr:cNvPr>
          <xdr:cNvSpPr txBox="1"/>
        </xdr:nvSpPr>
        <xdr:spPr>
          <a:xfrm>
            <a:off x="1745766" y="1151770"/>
            <a:ext cx="1371600" cy="3132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D0A5075-26F7-490E-B88F-14FA0A2B2FC3}" type="TxLink">
              <a:rPr lang="en-US" sz="2000" b="0" i="0" u="none" strike="noStrike">
                <a:solidFill>
                  <a:schemeClr val="accent1"/>
                </a:solidFill>
                <a:latin typeface="Calibri"/>
                <a:ea typeface="Calibri"/>
                <a:cs typeface="Calibri"/>
              </a:rPr>
              <a:pPr algn="ctr"/>
              <a:t>₹ 493.91</a:t>
            </a:fld>
            <a:endParaRPr lang="en-US" sz="4000">
              <a:solidFill>
                <a:schemeClr val="accent1"/>
              </a:solidFill>
            </a:endParaRPr>
          </a:p>
        </xdr:txBody>
      </xdr:sp>
      <xdr:sp macro="" textlink="">
        <xdr:nvSpPr>
          <xdr:cNvPr id="51" name="TextBox 50">
            <a:extLst>
              <a:ext uri="{FF2B5EF4-FFF2-40B4-BE49-F238E27FC236}">
                <a16:creationId xmlns:a16="http://schemas.microsoft.com/office/drawing/2014/main" id="{AC924F5D-0C8B-BFA6-64B2-45ED773200CE}"/>
              </a:ext>
            </a:extLst>
          </xdr:cNvPr>
          <xdr:cNvSpPr txBox="1"/>
        </xdr:nvSpPr>
        <xdr:spPr>
          <a:xfrm>
            <a:off x="2000367" y="897467"/>
            <a:ext cx="1253969" cy="3386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accent1"/>
                </a:solidFill>
                <a:latin typeface="Segoe UI Black" panose="020B0A02040204020203" pitchFamily="34" charset="0"/>
                <a:ea typeface="Segoe UI Black" panose="020B0A02040204020203" pitchFamily="34" charset="0"/>
              </a:rPr>
              <a:t>AVERAGE PRICE</a:t>
            </a:r>
          </a:p>
          <a:p>
            <a:endParaRPr lang="en-US" sz="1100" b="1">
              <a:solidFill>
                <a:schemeClr val="accent1"/>
              </a:solidFill>
              <a:latin typeface="Segoe UI Black" panose="020B0A02040204020203" pitchFamily="34" charset="0"/>
              <a:ea typeface="Segoe UI Black" panose="020B0A02040204020203" pitchFamily="34" charset="0"/>
            </a:endParaRPr>
          </a:p>
        </xdr:txBody>
      </xdr:sp>
      <xdr:sp macro="" textlink="">
        <xdr:nvSpPr>
          <xdr:cNvPr id="53" name="TextBox 52">
            <a:extLst>
              <a:ext uri="{FF2B5EF4-FFF2-40B4-BE49-F238E27FC236}">
                <a16:creationId xmlns:a16="http://schemas.microsoft.com/office/drawing/2014/main" id="{CA82B7C6-D177-7445-45A7-AB61F625A674}"/>
              </a:ext>
            </a:extLst>
          </xdr:cNvPr>
          <xdr:cNvSpPr txBox="1"/>
        </xdr:nvSpPr>
        <xdr:spPr>
          <a:xfrm>
            <a:off x="1994508" y="1521795"/>
            <a:ext cx="1100668" cy="22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accent1"/>
                </a:solidFill>
              </a:rPr>
              <a:t>Across All Stocks</a:t>
            </a:r>
          </a:p>
        </xdr:txBody>
      </xdr:sp>
      <xdr:pic>
        <xdr:nvPicPr>
          <xdr:cNvPr id="97" name="Graphic 96" descr="Tag">
            <a:extLst>
              <a:ext uri="{FF2B5EF4-FFF2-40B4-BE49-F238E27FC236}">
                <a16:creationId xmlns:a16="http://schemas.microsoft.com/office/drawing/2014/main" id="{C5F0810B-0FFE-21C6-F6EF-A09ADADF137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28049" y="894347"/>
            <a:ext cx="407525" cy="365760"/>
          </a:xfrm>
          <a:prstGeom prst="rect">
            <a:avLst/>
          </a:prstGeom>
        </xdr:spPr>
      </xdr:pic>
    </xdr:grpSp>
    <xdr:clientData/>
  </xdr:twoCellAnchor>
  <xdr:twoCellAnchor editAs="oneCell">
    <xdr:from>
      <xdr:col>5</xdr:col>
      <xdr:colOff>109747</xdr:colOff>
      <xdr:row>2</xdr:row>
      <xdr:rowOff>234510</xdr:rowOff>
    </xdr:from>
    <xdr:to>
      <xdr:col>5</xdr:col>
      <xdr:colOff>511326</xdr:colOff>
      <xdr:row>4</xdr:row>
      <xdr:rowOff>34545</xdr:rowOff>
    </xdr:to>
    <xdr:pic>
      <xdr:nvPicPr>
        <xdr:cNvPr id="102" name="Graphic 101" descr="Lightning bolt">
          <a:extLst>
            <a:ext uri="{FF2B5EF4-FFF2-40B4-BE49-F238E27FC236}">
              <a16:creationId xmlns:a16="http://schemas.microsoft.com/office/drawing/2014/main" id="{F3FFBFFB-4FD4-B870-65D0-7D09324B23C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178539" y="867114"/>
          <a:ext cx="401579" cy="432639"/>
        </a:xfrm>
        <a:prstGeom prst="rect">
          <a:avLst/>
        </a:prstGeom>
      </xdr:spPr>
    </xdr:pic>
    <xdr:clientData/>
  </xdr:twoCellAnchor>
  <xdr:twoCellAnchor editAs="oneCell">
    <xdr:from>
      <xdr:col>6</xdr:col>
      <xdr:colOff>1142282</xdr:colOff>
      <xdr:row>2</xdr:row>
      <xdr:rowOff>242099</xdr:rowOff>
    </xdr:from>
    <xdr:to>
      <xdr:col>7</xdr:col>
      <xdr:colOff>125808</xdr:colOff>
      <xdr:row>4</xdr:row>
      <xdr:rowOff>14866</xdr:rowOff>
    </xdr:to>
    <xdr:pic>
      <xdr:nvPicPr>
        <xdr:cNvPr id="104" name="Graphic 103" descr="Downward trend">
          <a:extLst>
            <a:ext uri="{FF2B5EF4-FFF2-40B4-BE49-F238E27FC236}">
              <a16:creationId xmlns:a16="http://schemas.microsoft.com/office/drawing/2014/main" id="{2B3F76AC-8004-169D-9F2F-F2D3651309A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116848" y="874703"/>
          <a:ext cx="406885" cy="405371"/>
        </a:xfrm>
        <a:prstGeom prst="rect">
          <a:avLst/>
        </a:prstGeom>
      </xdr:spPr>
    </xdr:pic>
    <xdr:clientData/>
  </xdr:twoCellAnchor>
  <xdr:twoCellAnchor>
    <xdr:from>
      <xdr:col>8</xdr:col>
      <xdr:colOff>504531</xdr:colOff>
      <xdr:row>2</xdr:row>
      <xdr:rowOff>205232</xdr:rowOff>
    </xdr:from>
    <xdr:to>
      <xdr:col>8</xdr:col>
      <xdr:colOff>828740</xdr:colOff>
      <xdr:row>3</xdr:row>
      <xdr:rowOff>226568</xdr:rowOff>
    </xdr:to>
    <xdr:sp macro="" textlink="">
      <xdr:nvSpPr>
        <xdr:cNvPr id="113" name="Division Sign 112">
          <a:extLst>
            <a:ext uri="{FF2B5EF4-FFF2-40B4-BE49-F238E27FC236}">
              <a16:creationId xmlns:a16="http://schemas.microsoft.com/office/drawing/2014/main" id="{90001456-D2B5-8B25-750F-7AAB6EC5A4AA}"/>
            </a:ext>
          </a:extLst>
        </xdr:cNvPr>
        <xdr:cNvSpPr/>
      </xdr:nvSpPr>
      <xdr:spPr>
        <a:xfrm rot="6756612">
          <a:off x="8232836" y="844550"/>
          <a:ext cx="337638" cy="324209"/>
        </a:xfrm>
        <a:prstGeom prst="mathDivide">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966398</xdr:colOff>
      <xdr:row>2</xdr:row>
      <xdr:rowOff>177801</xdr:rowOff>
    </xdr:from>
    <xdr:to>
      <xdr:col>10</xdr:col>
      <xdr:colOff>7996</xdr:colOff>
      <xdr:row>3</xdr:row>
      <xdr:rowOff>237067</xdr:rowOff>
    </xdr:to>
    <xdr:pic>
      <xdr:nvPicPr>
        <xdr:cNvPr id="115" name="Graphic 114" descr="Group of women">
          <a:extLst>
            <a:ext uri="{FF2B5EF4-FFF2-40B4-BE49-F238E27FC236}">
              <a16:creationId xmlns:a16="http://schemas.microsoft.com/office/drawing/2014/main" id="{91D50A0F-3A1E-153B-227C-D8B9615167C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282926" y="810405"/>
          <a:ext cx="278051" cy="375568"/>
        </a:xfrm>
        <a:prstGeom prst="rect">
          <a:avLst/>
        </a:prstGeom>
      </xdr:spPr>
    </xdr:pic>
    <xdr:clientData/>
  </xdr:twoCellAnchor>
  <xdr:twoCellAnchor editAs="oneCell">
    <xdr:from>
      <xdr:col>16</xdr:col>
      <xdr:colOff>705208</xdr:colOff>
      <xdr:row>2</xdr:row>
      <xdr:rowOff>108693</xdr:rowOff>
    </xdr:from>
    <xdr:to>
      <xdr:col>17</xdr:col>
      <xdr:colOff>346204</xdr:colOff>
      <xdr:row>3</xdr:row>
      <xdr:rowOff>197762</xdr:rowOff>
    </xdr:to>
    <xdr:pic>
      <xdr:nvPicPr>
        <xdr:cNvPr id="119" name="Graphic 118" descr="Bar graph with downward trend">
          <a:extLst>
            <a:ext uri="{FF2B5EF4-FFF2-40B4-BE49-F238E27FC236}">
              <a16:creationId xmlns:a16="http://schemas.microsoft.com/office/drawing/2014/main" id="{41307E78-D2CF-FA1F-EF9D-D874B51ECA9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579359" y="741297"/>
          <a:ext cx="474883" cy="405371"/>
        </a:xfrm>
        <a:prstGeom prst="rect">
          <a:avLst/>
        </a:prstGeom>
      </xdr:spPr>
    </xdr:pic>
    <xdr:clientData/>
  </xdr:twoCellAnchor>
  <xdr:twoCellAnchor>
    <xdr:from>
      <xdr:col>0</xdr:col>
      <xdr:colOff>129857</xdr:colOff>
      <xdr:row>5</xdr:row>
      <xdr:rowOff>211666</xdr:rowOff>
    </xdr:from>
    <xdr:to>
      <xdr:col>6</xdr:col>
      <xdr:colOff>641691</xdr:colOff>
      <xdr:row>12</xdr:row>
      <xdr:rowOff>93072</xdr:rowOff>
    </xdr:to>
    <xdr:graphicFrame macro="">
      <xdr:nvGraphicFramePr>
        <xdr:cNvPr id="120" name="Chart 119">
          <a:extLst>
            <a:ext uri="{FF2B5EF4-FFF2-40B4-BE49-F238E27FC236}">
              <a16:creationId xmlns:a16="http://schemas.microsoft.com/office/drawing/2014/main" id="{720F449C-AB4B-4857-B70A-046B6626B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718868</xdr:colOff>
      <xdr:row>5</xdr:row>
      <xdr:rowOff>215901</xdr:rowOff>
    </xdr:from>
    <xdr:to>
      <xdr:col>11</xdr:col>
      <xdr:colOff>23004</xdr:colOff>
      <xdr:row>12</xdr:row>
      <xdr:rowOff>98722</xdr:rowOff>
    </xdr:to>
    <xdr:graphicFrame macro="">
      <xdr:nvGraphicFramePr>
        <xdr:cNvPr id="121" name="Chart 120">
          <a:extLst>
            <a:ext uri="{FF2B5EF4-FFF2-40B4-BE49-F238E27FC236}">
              <a16:creationId xmlns:a16="http://schemas.microsoft.com/office/drawing/2014/main" id="{578C20A1-56CD-4E5A-8FAD-2636B5609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143774</xdr:colOff>
      <xdr:row>5</xdr:row>
      <xdr:rowOff>218457</xdr:rowOff>
    </xdr:from>
    <xdr:to>
      <xdr:col>18</xdr:col>
      <xdr:colOff>206459</xdr:colOff>
      <xdr:row>13</xdr:row>
      <xdr:rowOff>158150</xdr:rowOff>
    </xdr:to>
    <xdr:graphicFrame macro="">
      <xdr:nvGraphicFramePr>
        <xdr:cNvPr id="122" name="Chart 121">
          <a:extLst>
            <a:ext uri="{FF2B5EF4-FFF2-40B4-BE49-F238E27FC236}">
              <a16:creationId xmlns:a16="http://schemas.microsoft.com/office/drawing/2014/main" id="{21E41AC4-878A-4CE3-A3FA-9DC7C7590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126998</xdr:colOff>
      <xdr:row>12</xdr:row>
      <xdr:rowOff>152401</xdr:rowOff>
    </xdr:from>
    <xdr:to>
      <xdr:col>6</xdr:col>
      <xdr:colOff>618226</xdr:colOff>
      <xdr:row>18</xdr:row>
      <xdr:rowOff>203201</xdr:rowOff>
    </xdr:to>
    <xdr:graphicFrame macro="">
      <xdr:nvGraphicFramePr>
        <xdr:cNvPr id="123" name="Chart 122">
          <a:extLst>
            <a:ext uri="{FF2B5EF4-FFF2-40B4-BE49-F238E27FC236}">
              <a16:creationId xmlns:a16="http://schemas.microsoft.com/office/drawing/2014/main" id="{3DB45A54-D534-4BC1-B600-A0C88D9F0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733246</xdr:colOff>
      <xdr:row>12</xdr:row>
      <xdr:rowOff>160868</xdr:rowOff>
    </xdr:from>
    <xdr:to>
      <xdr:col>11</xdr:col>
      <xdr:colOff>31058</xdr:colOff>
      <xdr:row>18</xdr:row>
      <xdr:rowOff>211668</xdr:rowOff>
    </xdr:to>
    <xdr:graphicFrame macro="">
      <xdr:nvGraphicFramePr>
        <xdr:cNvPr id="124" name="Chart 123">
          <a:extLst>
            <a:ext uri="{FF2B5EF4-FFF2-40B4-BE49-F238E27FC236}">
              <a16:creationId xmlns:a16="http://schemas.microsoft.com/office/drawing/2014/main" id="{8FFEEB8F-45CA-4410-AAC8-68AE1853A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11</xdr:col>
      <xdr:colOff>143775</xdr:colOff>
      <xdr:row>13</xdr:row>
      <xdr:rowOff>244415</xdr:rowOff>
    </xdr:from>
    <xdr:to>
      <xdr:col>18</xdr:col>
      <xdr:colOff>186906</xdr:colOff>
      <xdr:row>20</xdr:row>
      <xdr:rowOff>172528</xdr:rowOff>
    </xdr:to>
    <xdr:graphicFrame macro="">
      <xdr:nvGraphicFramePr>
        <xdr:cNvPr id="125" name="Chart 124">
          <a:extLst>
            <a:ext uri="{FF2B5EF4-FFF2-40B4-BE49-F238E27FC236}">
              <a16:creationId xmlns:a16="http://schemas.microsoft.com/office/drawing/2014/main" id="{BAC5770D-DC2C-4B4F-8764-85EF53230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oneCellAnchor>
    <xdr:from>
      <xdr:col>15</xdr:col>
      <xdr:colOff>118753</xdr:colOff>
      <xdr:row>24</xdr:row>
      <xdr:rowOff>277091</xdr:rowOff>
    </xdr:from>
    <xdr:ext cx="184731" cy="264560"/>
    <xdr:sp macro="" textlink="">
      <xdr:nvSpPr>
        <xdr:cNvPr id="2" name="TextBox 1">
          <a:extLst>
            <a:ext uri="{FF2B5EF4-FFF2-40B4-BE49-F238E27FC236}">
              <a16:creationId xmlns:a16="http://schemas.microsoft.com/office/drawing/2014/main" id="{F9956CF5-B742-D517-959F-BF620D2EA7B4}"/>
            </a:ext>
          </a:extLst>
        </xdr:cNvPr>
        <xdr:cNvSpPr txBox="1"/>
      </xdr:nvSpPr>
      <xdr:spPr>
        <a:xfrm>
          <a:off x="11162805" y="50272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410541</xdr:colOff>
      <xdr:row>12</xdr:row>
      <xdr:rowOff>175373</xdr:rowOff>
    </xdr:from>
    <xdr:ext cx="3127169" cy="815608"/>
    <xdr:sp macro="" textlink="">
      <xdr:nvSpPr>
        <xdr:cNvPr id="3" name="TextBox 2">
          <a:extLst>
            <a:ext uri="{FF2B5EF4-FFF2-40B4-BE49-F238E27FC236}">
              <a16:creationId xmlns:a16="http://schemas.microsoft.com/office/drawing/2014/main" id="{29FE038C-BE48-A92D-DCE8-53A2554196EC}"/>
            </a:ext>
          </a:extLst>
        </xdr:cNvPr>
        <xdr:cNvSpPr txBox="1"/>
      </xdr:nvSpPr>
      <xdr:spPr>
        <a:xfrm>
          <a:off x="6826581" y="4015853"/>
          <a:ext cx="3127169" cy="8156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000" b="0" i="0" baseline="0">
              <a:solidFill>
                <a:schemeClr val="bg1">
                  <a:lumMod val="50000"/>
                </a:schemeClr>
              </a:solidFill>
              <a:effectLst/>
              <a:latin typeface="Arial Black" panose="020B0A04020102020204" pitchFamily="34" charset="0"/>
              <a:ea typeface="+mn-ea"/>
              <a:cs typeface="+mn-cs"/>
            </a:rPr>
            <a:t>Price Distributer</a:t>
          </a:r>
          <a:endParaRPr lang="en-US" sz="2000" b="0">
            <a:solidFill>
              <a:schemeClr val="bg1">
                <a:lumMod val="50000"/>
              </a:schemeClr>
            </a:solidFill>
            <a:effectLst/>
            <a:latin typeface="Arial Black" panose="020B0A04020102020204" pitchFamily="34" charset="0"/>
          </a:endParaRPr>
        </a:p>
        <a:p>
          <a:pPr algn="ctr"/>
          <a:endParaRPr lang="en-US" sz="2000" b="0">
            <a:solidFill>
              <a:schemeClr val="bg1">
                <a:lumMod val="50000"/>
              </a:schemeClr>
            </a:solidFill>
            <a:latin typeface="Arial Black" panose="020B0A04020102020204" pitchFamily="34" charset="0"/>
          </a:endParaRPr>
        </a:p>
      </xdr:txBody>
    </xdr:sp>
    <xdr:clientData/>
  </xdr:oneCellAnchor>
  <xdr:oneCellAnchor>
    <xdr:from>
      <xdr:col>18</xdr:col>
      <xdr:colOff>251782</xdr:colOff>
      <xdr:row>5</xdr:row>
      <xdr:rowOff>255144</xdr:rowOff>
    </xdr:from>
    <xdr:ext cx="1933576" cy="345544"/>
    <xdr:sp macro="" textlink="">
      <xdr:nvSpPr>
        <xdr:cNvPr id="13" name="TextBox 12">
          <a:extLst>
            <a:ext uri="{FF2B5EF4-FFF2-40B4-BE49-F238E27FC236}">
              <a16:creationId xmlns:a16="http://schemas.microsoft.com/office/drawing/2014/main" id="{C158E4C6-9992-9DC2-1468-BADC743CB1B6}"/>
            </a:ext>
          </a:extLst>
        </xdr:cNvPr>
        <xdr:cNvSpPr txBox="1"/>
      </xdr:nvSpPr>
      <xdr:spPr>
        <a:xfrm>
          <a:off x="15606801" y="1836653"/>
          <a:ext cx="1933576" cy="345544"/>
        </a:xfrm>
        <a:prstGeom prst="rect">
          <a:avLst/>
        </a:prstGeom>
        <a:solidFill>
          <a:srgbClr val="0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bg1"/>
              </a:solidFill>
              <a:latin typeface="Arial Black" panose="020B0A04020102020204" pitchFamily="34" charset="0"/>
            </a:rPr>
            <a:t>FILTERS/SLICERS</a:t>
          </a:r>
        </a:p>
      </xdr:txBody>
    </xdr:sp>
    <xdr:clientData/>
  </xdr:oneCellAnchor>
  <xdr:twoCellAnchor editAs="oneCell">
    <xdr:from>
      <xdr:col>18</xdr:col>
      <xdr:colOff>280424</xdr:colOff>
      <xdr:row>7</xdr:row>
      <xdr:rowOff>29828</xdr:rowOff>
    </xdr:from>
    <xdr:to>
      <xdr:col>21</xdr:col>
      <xdr:colOff>120988</xdr:colOff>
      <xdr:row>17</xdr:row>
      <xdr:rowOff>63947</xdr:rowOff>
    </xdr:to>
    <mc:AlternateContent xmlns:mc="http://schemas.openxmlformats.org/markup-compatibility/2006" xmlns:a14="http://schemas.microsoft.com/office/drawing/2010/main">
      <mc:Choice Requires="a14">
        <xdr:graphicFrame macro="">
          <xdr:nvGraphicFramePr>
            <xdr:cNvPr id="15" name="Symbol 1">
              <a:extLst>
                <a:ext uri="{FF2B5EF4-FFF2-40B4-BE49-F238E27FC236}">
                  <a16:creationId xmlns:a16="http://schemas.microsoft.com/office/drawing/2014/main" id="{F4ED89EA-B913-42F3-8AD3-05E5194046DF}"/>
                </a:ext>
              </a:extLst>
            </xdr:cNvPr>
            <xdr:cNvGraphicFramePr/>
          </xdr:nvGraphicFramePr>
          <xdr:xfrm>
            <a:off x="0" y="0"/>
            <a:ext cx="0" cy="0"/>
          </xdr:xfrm>
          <a:graphic>
            <a:graphicData uri="http://schemas.microsoft.com/office/drawing/2010/slicer">
              <sle:slicer xmlns:sle="http://schemas.microsoft.com/office/drawing/2010/slicer" name="Symbol 1"/>
            </a:graphicData>
          </a:graphic>
        </xdr:graphicFrame>
      </mc:Choice>
      <mc:Fallback xmlns="">
        <xdr:sp macro="" textlink="">
          <xdr:nvSpPr>
            <xdr:cNvPr id="0" name=""/>
            <xdr:cNvSpPr>
              <a:spLocks noTextEdit="1"/>
            </xdr:cNvSpPr>
          </xdr:nvSpPr>
          <xdr:spPr>
            <a:xfrm>
              <a:off x="15665567" y="2188828"/>
              <a:ext cx="1917921" cy="3118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280424</xdr:colOff>
      <xdr:row>17</xdr:row>
      <xdr:rowOff>109439</xdr:rowOff>
    </xdr:from>
    <xdr:to>
      <xdr:col>21</xdr:col>
      <xdr:colOff>132360</xdr:colOff>
      <xdr:row>20</xdr:row>
      <xdr:rowOff>109438</xdr:rowOff>
    </xdr:to>
    <mc:AlternateContent xmlns:mc="http://schemas.openxmlformats.org/markup-compatibility/2006" xmlns:a14="http://schemas.microsoft.com/office/drawing/2010/main">
      <mc:Choice Requires="a14">
        <xdr:graphicFrame macro="">
          <xdr:nvGraphicFramePr>
            <xdr:cNvPr id="16" name="Price Movement 1">
              <a:extLst>
                <a:ext uri="{FF2B5EF4-FFF2-40B4-BE49-F238E27FC236}">
                  <a16:creationId xmlns:a16="http://schemas.microsoft.com/office/drawing/2014/main" id="{16A74B7F-D059-4C4E-A2DE-3AAFA6115972}"/>
                </a:ext>
              </a:extLst>
            </xdr:cNvPr>
            <xdr:cNvGraphicFramePr/>
          </xdr:nvGraphicFramePr>
          <xdr:xfrm>
            <a:off x="0" y="0"/>
            <a:ext cx="0" cy="0"/>
          </xdr:xfrm>
          <a:graphic>
            <a:graphicData uri="http://schemas.microsoft.com/office/drawing/2010/slicer">
              <sle:slicer xmlns:sle="http://schemas.microsoft.com/office/drawing/2010/slicer" name="Price Movement 1"/>
            </a:graphicData>
          </a:graphic>
        </xdr:graphicFrame>
      </mc:Choice>
      <mc:Fallback xmlns="">
        <xdr:sp macro="" textlink="">
          <xdr:nvSpPr>
            <xdr:cNvPr id="0" name=""/>
            <xdr:cNvSpPr>
              <a:spLocks noTextEdit="1"/>
            </xdr:cNvSpPr>
          </xdr:nvSpPr>
          <xdr:spPr>
            <a:xfrm>
              <a:off x="15665567" y="5352725"/>
              <a:ext cx="1929293" cy="925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276555</xdr:colOff>
      <xdr:row>20</xdr:row>
      <xdr:rowOff>169309</xdr:rowOff>
    </xdr:from>
    <xdr:to>
      <xdr:col>21</xdr:col>
      <xdr:colOff>128492</xdr:colOff>
      <xdr:row>25</xdr:row>
      <xdr:rowOff>78325</xdr:rowOff>
    </xdr:to>
    <mc:AlternateContent xmlns:mc="http://schemas.openxmlformats.org/markup-compatibility/2006" xmlns:a14="http://schemas.microsoft.com/office/drawing/2010/main">
      <mc:Choice Requires="a14">
        <xdr:graphicFrame macro="">
          <xdr:nvGraphicFramePr>
            <xdr:cNvPr id="17" name="Price Band Range 1">
              <a:extLst>
                <a:ext uri="{FF2B5EF4-FFF2-40B4-BE49-F238E27FC236}">
                  <a16:creationId xmlns:a16="http://schemas.microsoft.com/office/drawing/2014/main" id="{08F957F6-A722-40D3-B04B-FD1208C2F6CD}"/>
                </a:ext>
              </a:extLst>
            </xdr:cNvPr>
            <xdr:cNvGraphicFramePr/>
          </xdr:nvGraphicFramePr>
          <xdr:xfrm>
            <a:off x="0" y="0"/>
            <a:ext cx="0" cy="0"/>
          </xdr:xfrm>
          <a:graphic>
            <a:graphicData uri="http://schemas.microsoft.com/office/drawing/2010/slicer">
              <sle:slicer xmlns:sle="http://schemas.microsoft.com/office/drawing/2010/slicer" name="Price Band Range 1"/>
            </a:graphicData>
          </a:graphic>
        </xdr:graphicFrame>
      </mc:Choice>
      <mc:Fallback xmlns="">
        <xdr:sp macro="" textlink="">
          <xdr:nvSpPr>
            <xdr:cNvPr id="0" name=""/>
            <xdr:cNvSpPr>
              <a:spLocks noTextEdit="1"/>
            </xdr:cNvSpPr>
          </xdr:nvSpPr>
          <xdr:spPr>
            <a:xfrm>
              <a:off x="15661698" y="6337880"/>
              <a:ext cx="1929294" cy="1451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276556</xdr:colOff>
      <xdr:row>25</xdr:row>
      <xdr:rowOff>152573</xdr:rowOff>
    </xdr:from>
    <xdr:to>
      <xdr:col>21</xdr:col>
      <xdr:colOff>139866</xdr:colOff>
      <xdr:row>29</xdr:row>
      <xdr:rowOff>28754</xdr:rowOff>
    </xdr:to>
    <mc:AlternateContent xmlns:mc="http://schemas.openxmlformats.org/markup-compatibility/2006" xmlns:a14="http://schemas.microsoft.com/office/drawing/2010/main">
      <mc:Choice Requires="a14">
        <xdr:graphicFrame macro="">
          <xdr:nvGraphicFramePr>
            <xdr:cNvPr id="18" name="Volume Category Range 1">
              <a:extLst>
                <a:ext uri="{FF2B5EF4-FFF2-40B4-BE49-F238E27FC236}">
                  <a16:creationId xmlns:a16="http://schemas.microsoft.com/office/drawing/2014/main" id="{C1EDAD2C-2097-403C-BE66-164249C89848}"/>
                </a:ext>
              </a:extLst>
            </xdr:cNvPr>
            <xdr:cNvGraphicFramePr/>
          </xdr:nvGraphicFramePr>
          <xdr:xfrm>
            <a:off x="0" y="0"/>
            <a:ext cx="0" cy="0"/>
          </xdr:xfrm>
          <a:graphic>
            <a:graphicData uri="http://schemas.microsoft.com/office/drawing/2010/slicer">
              <sle:slicer xmlns:sle="http://schemas.microsoft.com/office/drawing/2010/slicer" name="Volume Category Range 1"/>
            </a:graphicData>
          </a:graphic>
        </xdr:graphicFrame>
      </mc:Choice>
      <mc:Fallback xmlns="">
        <xdr:sp macro="" textlink="">
          <xdr:nvSpPr>
            <xdr:cNvPr id="0" name=""/>
            <xdr:cNvSpPr>
              <a:spLocks noTextEdit="1"/>
            </xdr:cNvSpPr>
          </xdr:nvSpPr>
          <xdr:spPr>
            <a:xfrm>
              <a:off x="15661699" y="7863287"/>
              <a:ext cx="1940667" cy="1109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201282</xdr:colOff>
      <xdr:row>21</xdr:row>
      <xdr:rowOff>28756</xdr:rowOff>
    </xdr:from>
    <xdr:ext cx="2242869" cy="301924"/>
    <xdr:sp macro="" textlink="">
      <xdr:nvSpPr>
        <xdr:cNvPr id="20" name="TextBox 19">
          <a:extLst>
            <a:ext uri="{FF2B5EF4-FFF2-40B4-BE49-F238E27FC236}">
              <a16:creationId xmlns:a16="http://schemas.microsoft.com/office/drawing/2014/main" id="{DCDDB608-9063-180C-AC86-A8E813C11331}"/>
            </a:ext>
          </a:extLst>
        </xdr:cNvPr>
        <xdr:cNvSpPr txBox="1"/>
      </xdr:nvSpPr>
      <xdr:spPr>
        <a:xfrm>
          <a:off x="10754263" y="6671096"/>
          <a:ext cx="2242869" cy="301924"/>
        </a:xfrm>
        <a:prstGeom prst="rect">
          <a:avLst/>
        </a:prstGeom>
        <a:solidFill>
          <a:srgbClr val="0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1">
              <a:solidFill>
                <a:schemeClr val="bg1"/>
              </a:solidFill>
              <a:latin typeface="Arial Black" panose="020B0A04020102020204" pitchFamily="34" charset="0"/>
            </a:rPr>
            <a:t>TOP GAINERS</a:t>
          </a:r>
        </a:p>
      </xdr:txBody>
    </xdr:sp>
    <xdr:clientData/>
  </xdr:oneCellAnchor>
  <xdr:oneCellAnchor>
    <xdr:from>
      <xdr:col>15</xdr:col>
      <xdr:colOff>0</xdr:colOff>
      <xdr:row>21</xdr:row>
      <xdr:rowOff>28755</xdr:rowOff>
    </xdr:from>
    <xdr:ext cx="2170982" cy="330679"/>
    <xdr:sp macro="" textlink="">
      <xdr:nvSpPr>
        <xdr:cNvPr id="21" name="TextBox 20">
          <a:extLst>
            <a:ext uri="{FF2B5EF4-FFF2-40B4-BE49-F238E27FC236}">
              <a16:creationId xmlns:a16="http://schemas.microsoft.com/office/drawing/2014/main" id="{432AF5FB-F20B-4E5A-830A-19BCBE69D81A}"/>
            </a:ext>
          </a:extLst>
        </xdr:cNvPr>
        <xdr:cNvSpPr txBox="1"/>
      </xdr:nvSpPr>
      <xdr:spPr>
        <a:xfrm>
          <a:off x="13212792" y="6671095"/>
          <a:ext cx="2170982" cy="330679"/>
        </a:xfrm>
        <a:prstGeom prst="rect">
          <a:avLst/>
        </a:prstGeom>
        <a:solidFill>
          <a:srgbClr val="0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1">
              <a:solidFill>
                <a:schemeClr val="bg1"/>
              </a:solidFill>
              <a:latin typeface="Arial Black" panose="020B0A04020102020204" pitchFamily="34" charset="0"/>
            </a:rPr>
            <a:t>TOP LOSERS</a:t>
          </a:r>
        </a:p>
        <a:p>
          <a:pPr algn="ctr"/>
          <a:endParaRPr lang="en-US" sz="1200" b="1">
            <a:solidFill>
              <a:schemeClr val="bg1"/>
            </a:solidFill>
            <a:latin typeface="Arial Black" panose="020B0A04020102020204" pitchFamily="34" charset="0"/>
          </a:endParaRPr>
        </a:p>
      </xdr:txBody>
    </xdr:sp>
    <xdr:clientData/>
  </xdr:oneCellAnchor>
  <xdr:oneCellAnchor>
    <xdr:from>
      <xdr:col>30</xdr:col>
      <xdr:colOff>115019</xdr:colOff>
      <xdr:row>10</xdr:row>
      <xdr:rowOff>287547</xdr:rowOff>
    </xdr:from>
    <xdr:ext cx="184731" cy="264560"/>
    <xdr:sp macro="" textlink="">
      <xdr:nvSpPr>
        <xdr:cNvPr id="30" name="TextBox 29">
          <a:extLst>
            <a:ext uri="{FF2B5EF4-FFF2-40B4-BE49-F238E27FC236}">
              <a16:creationId xmlns:a16="http://schemas.microsoft.com/office/drawing/2014/main" id="{240EFB69-DF23-90CD-70EC-EB330F53B682}"/>
            </a:ext>
          </a:extLst>
        </xdr:cNvPr>
        <xdr:cNvSpPr txBox="1"/>
      </xdr:nvSpPr>
      <xdr:spPr>
        <a:xfrm>
          <a:off x="21982981" y="34505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27</xdr:col>
      <xdr:colOff>330679</xdr:colOff>
      <xdr:row>5</xdr:row>
      <xdr:rowOff>301925</xdr:rowOff>
    </xdr:from>
    <xdr:ext cx="184731" cy="264560"/>
    <xdr:sp macro="" textlink="">
      <xdr:nvSpPr>
        <xdr:cNvPr id="31" name="TextBox 30">
          <a:extLst>
            <a:ext uri="{FF2B5EF4-FFF2-40B4-BE49-F238E27FC236}">
              <a16:creationId xmlns:a16="http://schemas.microsoft.com/office/drawing/2014/main" id="{7AC3CBC4-9EAB-232E-6096-28B985AF5848}"/>
            </a:ext>
          </a:extLst>
        </xdr:cNvPr>
        <xdr:cNvSpPr txBox="1"/>
      </xdr:nvSpPr>
      <xdr:spPr>
        <a:xfrm>
          <a:off x="20387094" y="18834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29</xdr:col>
      <xdr:colOff>488830</xdr:colOff>
      <xdr:row>10</xdr:row>
      <xdr:rowOff>14377</xdr:rowOff>
    </xdr:from>
    <xdr:ext cx="184731" cy="264560"/>
    <xdr:sp macro="" textlink="">
      <xdr:nvSpPr>
        <xdr:cNvPr id="37" name="TextBox 36">
          <a:extLst>
            <a:ext uri="{FF2B5EF4-FFF2-40B4-BE49-F238E27FC236}">
              <a16:creationId xmlns:a16="http://schemas.microsoft.com/office/drawing/2014/main" id="{0E27B070-5C38-0230-D57E-C68A00D25741}"/>
            </a:ext>
          </a:extLst>
        </xdr:cNvPr>
        <xdr:cNvSpPr txBox="1"/>
      </xdr:nvSpPr>
      <xdr:spPr>
        <a:xfrm>
          <a:off x="21752943" y="31773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ka Yadav" refreshedDate="46227.533352662038" createdVersion="8" refreshedVersion="8" minRefreshableVersion="3" recordCount="10" xr:uid="{76422511-0DFF-49BC-ABBB-D2CEBB635147}">
  <cacheSource type="worksheet">
    <worksheetSource ref="A1:K11" sheet="Calculations"/>
  </cacheSource>
  <cacheFields count="11">
    <cacheField name="Symbol" numFmtId="0">
      <sharedItems count="10">
        <s v="AAPL"/>
        <s v="MSFT"/>
        <s v="GOOGL"/>
        <s v="AMZN"/>
        <s v="TSLA"/>
        <s v="META"/>
        <s v="NFLX"/>
        <s v="ASML"/>
        <s v="NVDA"/>
        <s v="AMD"/>
      </sharedItems>
    </cacheField>
    <cacheField name="Price" numFmtId="0">
      <sharedItems containsSemiMixedTypes="0" containsString="0" containsNumber="1" minValue="68.53" maxValue="1801.86" count="10">
        <n v="325.89"/>
        <n v="390.34"/>
        <n v="342.09"/>
        <n v="244.85"/>
        <n v="374.01"/>
        <n v="627.16999999999996"/>
        <n v="68.53"/>
        <n v="1801.86"/>
        <n v="212.06"/>
        <n v="552.33000000000004"/>
      </sharedItems>
    </cacheField>
    <cacheField name="Change" numFmtId="0">
      <sharedItems containsSemiMixedTypes="0" containsString="0" containsNumber="1" minValue="-16.64" maxValue="7.9" count="10">
        <n v="-1.85"/>
        <n v="-7.41"/>
        <n v="-5.0599999999999996"/>
        <n v="-2.7"/>
        <n v="-4.92"/>
        <n v="-16.64"/>
        <n v="-0.14000000000000001"/>
        <n v="0.35"/>
        <n v="4.7699999999999996"/>
        <n v="7.9"/>
      </sharedItems>
    </cacheField>
    <cacheField name="Change%" numFmtId="0">
      <sharedItems containsSemiMixedTypes="0" containsString="0" containsNumber="1" minValue="-2.5846" maxValue="2.3010999999999999" count="10">
        <n v="-0.5645"/>
        <n v="-1.863"/>
        <n v="-1.4576"/>
        <n v="-1.0907"/>
        <n v="-1.2984"/>
        <n v="-2.5846"/>
        <n v="-0.2039"/>
        <n v="1.9400000000000001E-2"/>
        <n v="2.3010999999999999"/>
        <n v="1.4511000000000001"/>
      </sharedItems>
    </cacheField>
    <cacheField name="Volume" numFmtId="0">
      <sharedItems containsSemiMixedTypes="0" containsString="0" containsNumber="1" containsInteger="1" minValue="1007366" maxValue="137645596"/>
    </cacheField>
    <cacheField name="Last Updated" numFmtId="14">
      <sharedItems containsSemiMixedTypes="0" containsNonDate="0" containsDate="1" containsString="0" minDate="2026-07-23T15:16:03" maxDate="2026-07-23T15:19:18" count="10">
        <d v="2026-07-23T15:16:03"/>
        <d v="2026-07-23T15:16:25"/>
        <d v="2026-07-23T15:16:46"/>
        <d v="2026-07-23T15:17:09"/>
        <d v="2026-07-23T15:17:30"/>
        <d v="2026-07-23T15:17:52"/>
        <d v="2026-07-23T15:18:13"/>
        <d v="2026-07-23T15:18:35"/>
        <d v="2026-07-23T15:18:56"/>
        <d v="2026-07-23T15:19:18"/>
      </sharedItems>
    </cacheField>
    <cacheField name="Price Movement" numFmtId="0">
      <sharedItems count="2">
        <s v="Loss"/>
        <s v="Gain"/>
      </sharedItems>
    </cacheField>
    <cacheField name="Volume Category" numFmtId="0">
      <sharedItems count="2">
        <s v="Normal"/>
        <s v="High"/>
      </sharedItems>
    </cacheField>
    <cacheField name="Volume Category Range" numFmtId="0">
      <sharedItems count="3">
        <s v="Medium (20M-60M)"/>
        <s v="Low (&lt;20M)"/>
        <s v="High (&gt;60M)"/>
      </sharedItems>
    </cacheField>
    <cacheField name="Price Band" numFmtId="0">
      <sharedItems count="4">
        <s v="Medium"/>
        <s v="High"/>
        <s v="Low"/>
        <s v="Very High"/>
      </sharedItems>
    </cacheField>
    <cacheField name="Price Band Range" numFmtId="0">
      <sharedItems count="4">
        <s v="300 - 700"/>
        <s v="100 - 300"/>
        <s v="Below 100"/>
        <s v="Above 700"/>
      </sharedItems>
    </cacheField>
  </cacheFields>
  <extLst>
    <ext xmlns:x14="http://schemas.microsoft.com/office/spreadsheetml/2009/9/main" uri="{725AE2AE-9491-48be-B2B4-4EB974FC3084}">
      <x14:pivotCacheDefinition pivotCacheId="15568180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ka Yadav" refreshedDate="46227.556640393515" createdVersion="8" refreshedVersion="8" minRefreshableVersion="3" recordCount="10" xr:uid="{5BB6794D-7138-4407-BD3E-E87E3D3A1EF7}">
  <cacheSource type="worksheet">
    <worksheetSource name="tblStocks"/>
  </cacheSource>
  <cacheFields count="14">
    <cacheField name="Symbol" numFmtId="0">
      <sharedItems count="10">
        <s v="AAPL"/>
        <s v="MSFT"/>
        <s v="GOOGL"/>
        <s v="AMZN"/>
        <s v="TSLA"/>
        <s v="META"/>
        <s v="NFLX"/>
        <s v="ASML"/>
        <s v="NVDA"/>
        <s v="AMD"/>
      </sharedItems>
    </cacheField>
    <cacheField name="Price" numFmtId="0">
      <sharedItems containsSemiMixedTypes="0" containsString="0" containsNumber="1" minValue="68.53" maxValue="1801.86" count="10">
        <n v="325.89"/>
        <n v="390.34"/>
        <n v="342.09"/>
        <n v="244.85"/>
        <n v="374.01"/>
        <n v="627.16999999999996"/>
        <n v="68.53"/>
        <n v="1801.86"/>
        <n v="212.06"/>
        <n v="552.33000000000004"/>
      </sharedItems>
    </cacheField>
    <cacheField name="Change" numFmtId="0">
      <sharedItems containsSemiMixedTypes="0" containsString="0" containsNumber="1" minValue="-16.64" maxValue="7.9" count="10">
        <n v="-1.85"/>
        <n v="-7.41"/>
        <n v="-5.0599999999999996"/>
        <n v="-2.7"/>
        <n v="-4.92"/>
        <n v="-16.64"/>
        <n v="-0.14000000000000001"/>
        <n v="0.35"/>
        <n v="4.7699999999999996"/>
        <n v="7.9"/>
      </sharedItems>
    </cacheField>
    <cacheField name="Change%" numFmtId="0">
      <sharedItems containsSemiMixedTypes="0" containsString="0" containsNumber="1" minValue="-2.5846" maxValue="2.3010999999999999" count="10">
        <n v="-0.5645"/>
        <n v="-1.863"/>
        <n v="-1.4576"/>
        <n v="-1.0907"/>
        <n v="-1.2984"/>
        <n v="-2.5846"/>
        <n v="-0.2039"/>
        <n v="1.9400000000000001E-2"/>
        <n v="2.3010999999999999"/>
        <n v="1.4511000000000001"/>
      </sharedItems>
    </cacheField>
    <cacheField name="Volume" numFmtId="0">
      <sharedItems containsSemiMixedTypes="0" containsString="0" containsNumber="1" containsInteger="1" minValue="1007366" maxValue="137645596" count="10">
        <n v="38755929"/>
        <n v="28142511"/>
        <n v="39334140"/>
        <n v="34112732"/>
        <n v="30646124"/>
        <n v="11019559"/>
        <n v="44947331"/>
        <n v="1007366"/>
        <n v="137645596"/>
        <n v="24776665"/>
      </sharedItems>
    </cacheField>
    <cacheField name="Last Updated" numFmtId="14">
      <sharedItems containsSemiMixedTypes="0" containsNonDate="0" containsDate="1" containsString="0" minDate="2026-07-23T15:16:03" maxDate="2026-07-23T15:19:18" count="10">
        <d v="2026-07-23T15:16:03"/>
        <d v="2026-07-23T15:16:25"/>
        <d v="2026-07-23T15:16:46"/>
        <d v="2026-07-23T15:17:09"/>
        <d v="2026-07-23T15:17:30"/>
        <d v="2026-07-23T15:17:52"/>
        <d v="2026-07-23T15:18:13"/>
        <d v="2026-07-23T15:18:35"/>
        <d v="2026-07-23T15:18:56"/>
        <d v="2026-07-23T15:19:18"/>
      </sharedItems>
      <fieldGroup par="13"/>
    </cacheField>
    <cacheField name="Price Movement" numFmtId="0">
      <sharedItems count="2">
        <s v="Loss"/>
        <s v="Gain"/>
      </sharedItems>
    </cacheField>
    <cacheField name="Volume Category" numFmtId="0">
      <sharedItems count="2">
        <s v="Normal"/>
        <s v="High"/>
      </sharedItems>
    </cacheField>
    <cacheField name="Volume Category Range" numFmtId="0">
      <sharedItems count="3">
        <s v="Medium (20M-60M)"/>
        <s v="Low (&lt;20M)"/>
        <s v="High (&gt;60M)"/>
      </sharedItems>
    </cacheField>
    <cacheField name="Price Band" numFmtId="0">
      <sharedItems count="4">
        <s v="Medium"/>
        <s v="High"/>
        <s v="Low"/>
        <s v="Very High"/>
      </sharedItems>
    </cacheField>
    <cacheField name="Price Band Range" numFmtId="0">
      <sharedItems count="4">
        <s v="300 - 700"/>
        <s v="100 - 300"/>
        <s v="Below 100"/>
        <s v="Above 700"/>
      </sharedItems>
    </cacheField>
    <cacheField name="Seconds (Last Updated)" numFmtId="0" databaseField="0">
      <fieldGroup base="5">
        <rangePr groupBy="seconds" startDate="2026-07-23T15:16:03" endDate="2026-07-23T15:19:18"/>
        <groupItems count="62">
          <s v="&lt;7/23/2026"/>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7/23/2026"/>
        </groupItems>
      </fieldGroup>
    </cacheField>
    <cacheField name="Minutes (Last Updated)" numFmtId="0" databaseField="0">
      <fieldGroup base="5">
        <rangePr groupBy="minutes" startDate="2026-07-23T15:16:03" endDate="2026-07-23T15:19:18"/>
        <groupItems count="62">
          <s v="&lt;7/23/2026"/>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7/23/2026"/>
        </groupItems>
      </fieldGroup>
    </cacheField>
    <cacheField name="Hours (Last Updated)" numFmtId="0" databaseField="0">
      <fieldGroup base="5">
        <rangePr groupBy="hours" startDate="2026-07-23T15:16:03" endDate="2026-07-23T15:19:18"/>
        <groupItems count="26">
          <s v="&lt;7/23/2026"/>
          <s v="12 AM"/>
          <s v="1 AM"/>
          <s v="2 AM"/>
          <s v="3 AM"/>
          <s v="4 AM"/>
          <s v="5 AM"/>
          <s v="6 AM"/>
          <s v="7 AM"/>
          <s v="8 AM"/>
          <s v="9 AM"/>
          <s v="10 AM"/>
          <s v="11 AM"/>
          <s v="12 PM"/>
          <s v="1 PM"/>
          <s v="2 PM"/>
          <s v="3 PM"/>
          <s v="4 PM"/>
          <s v="5 PM"/>
          <s v="6 PM"/>
          <s v="7 PM"/>
          <s v="8 PM"/>
          <s v="9 PM"/>
          <s v="10 PM"/>
          <s v="11 PM"/>
          <s v="&gt;7/23/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n v="38755929"/>
    <x v="0"/>
    <x v="0"/>
    <x v="0"/>
    <x v="0"/>
    <x v="0"/>
    <x v="0"/>
  </r>
  <r>
    <x v="1"/>
    <x v="1"/>
    <x v="1"/>
    <x v="1"/>
    <n v="28142511"/>
    <x v="1"/>
    <x v="0"/>
    <x v="0"/>
    <x v="0"/>
    <x v="0"/>
    <x v="0"/>
  </r>
  <r>
    <x v="2"/>
    <x v="2"/>
    <x v="2"/>
    <x v="2"/>
    <n v="39334140"/>
    <x v="2"/>
    <x v="0"/>
    <x v="0"/>
    <x v="0"/>
    <x v="0"/>
    <x v="0"/>
  </r>
  <r>
    <x v="3"/>
    <x v="3"/>
    <x v="3"/>
    <x v="3"/>
    <n v="34112732"/>
    <x v="3"/>
    <x v="0"/>
    <x v="0"/>
    <x v="0"/>
    <x v="0"/>
    <x v="1"/>
  </r>
  <r>
    <x v="4"/>
    <x v="4"/>
    <x v="4"/>
    <x v="4"/>
    <n v="30646124"/>
    <x v="4"/>
    <x v="0"/>
    <x v="0"/>
    <x v="0"/>
    <x v="0"/>
    <x v="0"/>
  </r>
  <r>
    <x v="5"/>
    <x v="5"/>
    <x v="5"/>
    <x v="5"/>
    <n v="11019559"/>
    <x v="5"/>
    <x v="0"/>
    <x v="0"/>
    <x v="1"/>
    <x v="1"/>
    <x v="0"/>
  </r>
  <r>
    <x v="6"/>
    <x v="6"/>
    <x v="6"/>
    <x v="6"/>
    <n v="44947331"/>
    <x v="6"/>
    <x v="0"/>
    <x v="0"/>
    <x v="0"/>
    <x v="2"/>
    <x v="2"/>
  </r>
  <r>
    <x v="7"/>
    <x v="7"/>
    <x v="7"/>
    <x v="7"/>
    <n v="1007366"/>
    <x v="7"/>
    <x v="1"/>
    <x v="0"/>
    <x v="1"/>
    <x v="3"/>
    <x v="3"/>
  </r>
  <r>
    <x v="8"/>
    <x v="8"/>
    <x v="8"/>
    <x v="8"/>
    <n v="137645596"/>
    <x v="8"/>
    <x v="1"/>
    <x v="1"/>
    <x v="2"/>
    <x v="0"/>
    <x v="1"/>
  </r>
  <r>
    <x v="9"/>
    <x v="9"/>
    <x v="9"/>
    <x v="9"/>
    <n v="24776665"/>
    <x v="9"/>
    <x v="1"/>
    <x v="0"/>
    <x v="0"/>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x v="0"/>
    <x v="0"/>
    <x v="0"/>
    <x v="0"/>
    <x v="0"/>
    <x v="0"/>
    <x v="0"/>
  </r>
  <r>
    <x v="1"/>
    <x v="1"/>
    <x v="1"/>
    <x v="1"/>
    <x v="1"/>
    <x v="1"/>
    <x v="0"/>
    <x v="0"/>
    <x v="0"/>
    <x v="0"/>
    <x v="0"/>
  </r>
  <r>
    <x v="2"/>
    <x v="2"/>
    <x v="2"/>
    <x v="2"/>
    <x v="2"/>
    <x v="2"/>
    <x v="0"/>
    <x v="0"/>
    <x v="0"/>
    <x v="0"/>
    <x v="0"/>
  </r>
  <r>
    <x v="3"/>
    <x v="3"/>
    <x v="3"/>
    <x v="3"/>
    <x v="3"/>
    <x v="3"/>
    <x v="0"/>
    <x v="0"/>
    <x v="0"/>
    <x v="0"/>
    <x v="1"/>
  </r>
  <r>
    <x v="4"/>
    <x v="4"/>
    <x v="4"/>
    <x v="4"/>
    <x v="4"/>
    <x v="4"/>
    <x v="0"/>
    <x v="0"/>
    <x v="0"/>
    <x v="0"/>
    <x v="0"/>
  </r>
  <r>
    <x v="5"/>
    <x v="5"/>
    <x v="5"/>
    <x v="5"/>
    <x v="5"/>
    <x v="5"/>
    <x v="0"/>
    <x v="0"/>
    <x v="1"/>
    <x v="1"/>
    <x v="0"/>
  </r>
  <r>
    <x v="6"/>
    <x v="6"/>
    <x v="6"/>
    <x v="6"/>
    <x v="6"/>
    <x v="6"/>
    <x v="0"/>
    <x v="0"/>
    <x v="0"/>
    <x v="2"/>
    <x v="2"/>
  </r>
  <r>
    <x v="7"/>
    <x v="7"/>
    <x v="7"/>
    <x v="7"/>
    <x v="7"/>
    <x v="7"/>
    <x v="1"/>
    <x v="0"/>
    <x v="1"/>
    <x v="3"/>
    <x v="3"/>
  </r>
  <r>
    <x v="8"/>
    <x v="8"/>
    <x v="8"/>
    <x v="8"/>
    <x v="8"/>
    <x v="8"/>
    <x v="1"/>
    <x v="1"/>
    <x v="2"/>
    <x v="0"/>
    <x v="1"/>
  </r>
  <r>
    <x v="9"/>
    <x v="9"/>
    <x v="9"/>
    <x v="9"/>
    <x v="9"/>
    <x v="9"/>
    <x v="1"/>
    <x v="0"/>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FF5EB-D8C2-4D70-822A-8B8DA4FD83DE}" name="PivotTable1"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H22" firstHeaderRow="1" firstDataRow="1" firstDataCol="1"/>
  <pivotFields count="14">
    <pivotField axis="axisRow" showAll="0" measureFilter="1" sortType="descending">
      <items count="11">
        <item x="0"/>
        <item x="9"/>
        <item x="3"/>
        <item x="7"/>
        <item x="2"/>
        <item x="5"/>
        <item x="1"/>
        <item x="6"/>
        <item x="8"/>
        <item x="4"/>
        <item t="default"/>
      </items>
      <autoSortScope>
        <pivotArea dataOnly="0" outline="0" fieldPosition="0">
          <references count="1">
            <reference field="4294967294" count="1" selected="0">
              <x v="0"/>
            </reference>
          </references>
        </pivotArea>
      </autoSortScope>
    </pivotField>
    <pivotField showAll="0">
      <items count="11">
        <item x="6"/>
        <item x="8"/>
        <item x="3"/>
        <item x="0"/>
        <item x="2"/>
        <item x="4"/>
        <item x="1"/>
        <item x="9"/>
        <item x="5"/>
        <item x="7"/>
        <item t="default"/>
      </items>
    </pivotField>
    <pivotField showAll="0">
      <items count="11">
        <item x="5"/>
        <item x="1"/>
        <item x="2"/>
        <item x="4"/>
        <item x="3"/>
        <item x="0"/>
        <item x="6"/>
        <item x="7"/>
        <item x="8"/>
        <item x="9"/>
        <item t="default"/>
      </items>
    </pivotField>
    <pivotField dataField="1" showAll="0">
      <items count="11">
        <item x="5"/>
        <item x="1"/>
        <item x="2"/>
        <item x="4"/>
        <item x="3"/>
        <item x="0"/>
        <item x="6"/>
        <item x="7"/>
        <item x="9"/>
        <item x="8"/>
        <item t="default"/>
      </items>
    </pivotField>
    <pivotField showAll="0">
      <items count="11">
        <item x="7"/>
        <item x="5"/>
        <item x="9"/>
        <item x="1"/>
        <item x="4"/>
        <item x="3"/>
        <item x="0"/>
        <item x="2"/>
        <item x="6"/>
        <item x="8"/>
        <item t="default"/>
      </items>
    </pivotField>
    <pivotField numFmtId="14" showAll="0">
      <items count="11">
        <item x="0"/>
        <item x="1"/>
        <item x="2"/>
        <item x="3"/>
        <item x="4"/>
        <item x="5"/>
        <item x="6"/>
        <item x="7"/>
        <item x="8"/>
        <item x="9"/>
        <item t="default"/>
      </items>
    </pivotField>
    <pivotField showAll="0">
      <items count="3">
        <item x="1"/>
        <item x="0"/>
        <item t="default"/>
      </items>
    </pivotField>
    <pivotField showAll="0">
      <items count="3">
        <item x="1"/>
        <item x="0"/>
        <item t="default"/>
      </items>
    </pivotField>
    <pivotField showAll="0">
      <items count="4">
        <item x="2"/>
        <item x="1"/>
        <item x="0"/>
        <item t="default"/>
      </items>
    </pivotField>
    <pivotField showAll="0">
      <items count="5">
        <item x="1"/>
        <item x="2"/>
        <item x="0"/>
        <item x="3"/>
        <item t="default"/>
      </items>
    </pivotField>
    <pivotField showAll="0">
      <items count="5">
        <item x="1"/>
        <item x="0"/>
        <item x="3"/>
        <item x="2"/>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0"/>
  </rowFields>
  <rowItems count="6">
    <i>
      <x v="8"/>
    </i>
    <i>
      <x v="1"/>
    </i>
    <i>
      <x v="3"/>
    </i>
    <i>
      <x v="7"/>
    </i>
    <i>
      <x/>
    </i>
    <i t="grand">
      <x/>
    </i>
  </rowItems>
  <colItems count="1">
    <i/>
  </colItems>
  <dataFields count="1">
    <dataField name="Sum of Change%" fld="3" baseField="0" baseItem="0"/>
  </dataField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BAD5F4-75D1-4E4B-997C-82CF160AF0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ymbols">
  <location ref="A1:B12" firstHeaderRow="1" firstDataRow="1" firstDataCol="1"/>
  <pivotFields count="11">
    <pivotField axis="axisRow" showAll="0">
      <items count="11">
        <item x="0"/>
        <item x="9"/>
        <item x="3"/>
        <item x="7"/>
        <item x="2"/>
        <item x="5"/>
        <item x="1"/>
        <item x="6"/>
        <item x="8"/>
        <item x="4"/>
        <item t="default"/>
      </items>
    </pivotField>
    <pivotField dataField="1" showAll="0"/>
    <pivotField showAll="0"/>
    <pivotField showAll="0"/>
    <pivotField showAll="0"/>
    <pivotField numFmtId="14" showAll="0"/>
    <pivotField showAll="0">
      <items count="3">
        <item x="1"/>
        <item x="0"/>
        <item t="default"/>
      </items>
    </pivotField>
    <pivotField showAll="0"/>
    <pivotField showAll="0">
      <items count="4">
        <item x="2"/>
        <item x="1"/>
        <item x="0"/>
        <item t="default"/>
      </items>
    </pivotField>
    <pivotField showAll="0"/>
    <pivotField showAll="0">
      <items count="5">
        <item x="1"/>
        <item x="0"/>
        <item x="3"/>
        <item x="2"/>
        <item t="default"/>
      </items>
    </pivotField>
  </pivotFields>
  <rowFields count="1">
    <field x="0"/>
  </rowFields>
  <rowItems count="11">
    <i>
      <x/>
    </i>
    <i>
      <x v="1"/>
    </i>
    <i>
      <x v="2"/>
    </i>
    <i>
      <x v="3"/>
    </i>
    <i>
      <x v="4"/>
    </i>
    <i>
      <x v="5"/>
    </i>
    <i>
      <x v="6"/>
    </i>
    <i>
      <x v="7"/>
    </i>
    <i>
      <x v="8"/>
    </i>
    <i>
      <x v="9"/>
    </i>
    <i t="grand">
      <x/>
    </i>
  </rowItems>
  <colItems count="1">
    <i/>
  </colItems>
  <dataFields count="1">
    <dataField name="Sum of Pric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BCDC85-7A43-4EAE-A879-42819B90360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29:L40" firstHeaderRow="1" firstDataRow="1" firstDataCol="1"/>
  <pivotFields count="11">
    <pivotField axis="axisRow" showAll="0">
      <items count="11">
        <item x="0"/>
        <item x="9"/>
        <item x="3"/>
        <item x="7"/>
        <item x="2"/>
        <item x="5"/>
        <item x="1"/>
        <item x="6"/>
        <item x="8"/>
        <item x="4"/>
        <item t="default"/>
      </items>
    </pivotField>
    <pivotField showAll="0"/>
    <pivotField showAll="0"/>
    <pivotField dataField="1" showAll="0"/>
    <pivotField showAll="0"/>
    <pivotField numFmtId="14" showAll="0"/>
    <pivotField showAll="0">
      <items count="3">
        <item x="1"/>
        <item x="0"/>
        <item t="default"/>
      </items>
    </pivotField>
    <pivotField showAll="0"/>
    <pivotField showAll="0">
      <items count="4">
        <item x="2"/>
        <item x="1"/>
        <item x="0"/>
        <item t="default"/>
      </items>
    </pivotField>
    <pivotField showAll="0"/>
    <pivotField showAll="0">
      <items count="5">
        <item x="1"/>
        <item x="0"/>
        <item x="3"/>
        <item x="2"/>
        <item t="default"/>
      </items>
    </pivotField>
  </pivotFields>
  <rowFields count="1">
    <field x="0"/>
  </rowFields>
  <rowItems count="11">
    <i>
      <x/>
    </i>
    <i>
      <x v="1"/>
    </i>
    <i>
      <x v="2"/>
    </i>
    <i>
      <x v="3"/>
    </i>
    <i>
      <x v="4"/>
    </i>
    <i>
      <x v="5"/>
    </i>
    <i>
      <x v="6"/>
    </i>
    <i>
      <x v="7"/>
    </i>
    <i>
      <x v="8"/>
    </i>
    <i>
      <x v="9"/>
    </i>
    <i t="grand">
      <x/>
    </i>
  </rowItems>
  <colItems count="1">
    <i/>
  </colItems>
  <dataFields count="1">
    <dataField name="Sum of Change%" fld="3"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2418CD-C238-4B03-85CA-907C70D155C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4:B27" firstHeaderRow="1" firstDataRow="1" firstDataCol="1"/>
  <pivotFields count="11">
    <pivotField showAll="0">
      <items count="11">
        <item x="0"/>
        <item x="9"/>
        <item x="3"/>
        <item x="7"/>
        <item x="2"/>
        <item x="5"/>
        <item x="1"/>
        <item x="6"/>
        <item x="8"/>
        <item x="4"/>
        <item t="default"/>
      </items>
    </pivotField>
    <pivotField showAll="0"/>
    <pivotField showAll="0"/>
    <pivotField showAll="0"/>
    <pivotField dataField="1" showAll="0"/>
    <pivotField numFmtId="14" showAll="0"/>
    <pivotField showAll="0">
      <items count="3">
        <item x="1"/>
        <item x="0"/>
        <item t="default"/>
      </items>
    </pivotField>
    <pivotField axis="axisRow" showAll="0">
      <items count="3">
        <item x="1"/>
        <item x="0"/>
        <item t="default"/>
      </items>
    </pivotField>
    <pivotField showAll="0">
      <items count="4">
        <item x="2"/>
        <item x="1"/>
        <item x="0"/>
        <item t="default"/>
      </items>
    </pivotField>
    <pivotField showAll="0"/>
    <pivotField showAll="0">
      <items count="5">
        <item x="1"/>
        <item x="0"/>
        <item x="3"/>
        <item x="2"/>
        <item t="default"/>
      </items>
    </pivotField>
  </pivotFields>
  <rowFields count="1">
    <field x="7"/>
  </rowFields>
  <rowItems count="3">
    <i>
      <x/>
    </i>
    <i>
      <x v="1"/>
    </i>
    <i t="grand">
      <x/>
    </i>
  </rowItems>
  <colItems count="1">
    <i/>
  </colItems>
  <dataFields count="1">
    <dataField name="Average of Volume" fld="4" subtotal="average" baseField="7"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16D007-7048-4EB6-ACBD-34CC52500C3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5:L20" firstHeaderRow="1" firstDataRow="1" firstDataCol="1"/>
  <pivotFields count="11">
    <pivotField showAll="0">
      <items count="11">
        <item x="0"/>
        <item x="9"/>
        <item x="3"/>
        <item x="7"/>
        <item x="2"/>
        <item x="5"/>
        <item x="1"/>
        <item x="6"/>
        <item x="8"/>
        <item x="4"/>
        <item t="default"/>
      </items>
    </pivotField>
    <pivotField dataField="1" showAll="0"/>
    <pivotField showAll="0"/>
    <pivotField showAll="0"/>
    <pivotField showAll="0"/>
    <pivotField numFmtId="14" showAll="0"/>
    <pivotField showAll="0">
      <items count="3">
        <item x="1"/>
        <item x="0"/>
        <item t="default"/>
      </items>
    </pivotField>
    <pivotField showAll="0"/>
    <pivotField showAll="0">
      <items count="4">
        <item x="2"/>
        <item x="1"/>
        <item x="0"/>
        <item t="default"/>
      </items>
    </pivotField>
    <pivotField axis="axisRow" showAll="0">
      <items count="5">
        <item x="1"/>
        <item x="2"/>
        <item x="0"/>
        <item x="3"/>
        <item t="default"/>
      </items>
    </pivotField>
    <pivotField showAll="0">
      <items count="5">
        <item x="1"/>
        <item x="0"/>
        <item x="3"/>
        <item x="2"/>
        <item t="default"/>
      </items>
    </pivotField>
  </pivotFields>
  <rowFields count="1">
    <field x="9"/>
  </rowFields>
  <rowItems count="5">
    <i>
      <x/>
    </i>
    <i>
      <x v="1"/>
    </i>
    <i>
      <x v="2"/>
    </i>
    <i>
      <x v="3"/>
    </i>
    <i t="grand">
      <x/>
    </i>
  </rowItems>
  <colItems count="1">
    <i/>
  </colItems>
  <dataFields count="1">
    <dataField name="Sum of Price" fld="1" baseField="0" baseItem="0"/>
  </dataField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 chart="3" format="10">
      <pivotArea type="data" outline="0" fieldPosition="0">
        <references count="2">
          <reference field="4294967294" count="1" selected="0">
            <x v="0"/>
          </reference>
          <reference field="9" count="1" selected="0">
            <x v="3"/>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6C9A4A-D2C7-4AE6-852B-D9152FA3079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ice Movement">
  <location ref="A15:B18" firstHeaderRow="1" firstDataRow="1" firstDataCol="1"/>
  <pivotFields count="11">
    <pivotField dataField="1" showAll="0">
      <items count="11">
        <item x="0"/>
        <item x="9"/>
        <item x="3"/>
        <item x="7"/>
        <item x="2"/>
        <item x="5"/>
        <item x="1"/>
        <item x="6"/>
        <item x="8"/>
        <item x="4"/>
        <item t="default"/>
      </items>
    </pivotField>
    <pivotField showAll="0"/>
    <pivotField showAll="0"/>
    <pivotField showAll="0"/>
    <pivotField showAll="0"/>
    <pivotField numFmtId="14" showAll="0"/>
    <pivotField axis="axisRow" showAll="0">
      <items count="3">
        <item x="1"/>
        <item x="0"/>
        <item t="default"/>
      </items>
    </pivotField>
    <pivotField showAll="0"/>
    <pivotField showAll="0">
      <items count="4">
        <item x="2"/>
        <item x="1"/>
        <item x="0"/>
        <item t="default"/>
      </items>
    </pivotField>
    <pivotField showAll="0"/>
    <pivotField showAll="0">
      <items count="5">
        <item x="1"/>
        <item x="0"/>
        <item x="3"/>
        <item x="2"/>
        <item t="default"/>
      </items>
    </pivotField>
  </pivotFields>
  <rowFields count="1">
    <field x="6"/>
  </rowFields>
  <rowItems count="3">
    <i>
      <x/>
    </i>
    <i>
      <x v="1"/>
    </i>
    <i t="grand">
      <x/>
    </i>
  </rowItems>
  <colItems count="1">
    <i/>
  </colItems>
  <dataFields count="1">
    <dataField name="Count of Symbol" fld="0" subtotal="count" baseField="1" baseItem="0"/>
  </dataFields>
  <chartFormats count="6">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C875D6-A5E4-4557-8FC5-17A6E290D4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ymbols">
  <location ref="K1:L12" firstHeaderRow="1" firstDataRow="1" firstDataCol="1"/>
  <pivotFields count="11">
    <pivotField axis="axisRow" showAll="0">
      <items count="11">
        <item x="0"/>
        <item x="9"/>
        <item x="3"/>
        <item x="7"/>
        <item x="2"/>
        <item x="5"/>
        <item x="1"/>
        <item x="6"/>
        <item x="8"/>
        <item x="4"/>
        <item t="default"/>
      </items>
    </pivotField>
    <pivotField showAll="0">
      <items count="11">
        <item x="6"/>
        <item x="8"/>
        <item x="3"/>
        <item x="0"/>
        <item x="2"/>
        <item x="4"/>
        <item x="1"/>
        <item x="9"/>
        <item x="5"/>
        <item x="7"/>
        <item t="default"/>
      </items>
    </pivotField>
    <pivotField showAll="0">
      <items count="11">
        <item x="5"/>
        <item x="1"/>
        <item x="2"/>
        <item x="4"/>
        <item x="3"/>
        <item x="0"/>
        <item x="6"/>
        <item x="7"/>
        <item x="8"/>
        <item x="9"/>
        <item t="default"/>
      </items>
    </pivotField>
    <pivotField showAll="0">
      <items count="11">
        <item x="5"/>
        <item x="1"/>
        <item x="2"/>
        <item x="4"/>
        <item x="3"/>
        <item x="0"/>
        <item x="6"/>
        <item x="7"/>
        <item x="9"/>
        <item x="8"/>
        <item t="default"/>
      </items>
    </pivotField>
    <pivotField dataField="1" showAll="0"/>
    <pivotField numFmtId="14" showAll="0">
      <items count="11">
        <item x="0"/>
        <item x="1"/>
        <item x="2"/>
        <item x="3"/>
        <item x="4"/>
        <item x="5"/>
        <item x="6"/>
        <item x="7"/>
        <item x="8"/>
        <item x="9"/>
        <item t="default"/>
      </items>
    </pivotField>
    <pivotField showAll="0">
      <items count="3">
        <item x="1"/>
        <item x="0"/>
        <item t="default"/>
      </items>
    </pivotField>
    <pivotField showAll="0"/>
    <pivotField showAll="0">
      <items count="4">
        <item x="2"/>
        <item x="1"/>
        <item x="0"/>
        <item t="default"/>
      </items>
    </pivotField>
    <pivotField showAll="0">
      <items count="5">
        <item x="1"/>
        <item x="2"/>
        <item x="0"/>
        <item x="3"/>
        <item t="default"/>
      </items>
    </pivotField>
    <pivotField showAll="0">
      <items count="5">
        <item x="1"/>
        <item x="0"/>
        <item x="3"/>
        <item x="2"/>
        <item t="default"/>
      </items>
    </pivotField>
  </pivotFields>
  <rowFields count="1">
    <field x="0"/>
  </rowFields>
  <rowItems count="11">
    <i>
      <x/>
    </i>
    <i>
      <x v="1"/>
    </i>
    <i>
      <x v="2"/>
    </i>
    <i>
      <x v="3"/>
    </i>
    <i>
      <x v="4"/>
    </i>
    <i>
      <x v="5"/>
    </i>
    <i>
      <x v="6"/>
    </i>
    <i>
      <x v="7"/>
    </i>
    <i>
      <x v="8"/>
    </i>
    <i>
      <x v="9"/>
    </i>
    <i t="grand">
      <x/>
    </i>
  </rowItems>
  <colItems count="1">
    <i/>
  </colItems>
  <dataFields count="1">
    <dataField name="Sum of Volume" fld="4"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7A9A34-BAA4-41EA-820B-73A6932AA415}" autoFormatId="16" applyNumberFormats="0" applyBorderFormats="0" applyFontFormats="0" applyPatternFormats="0" applyAlignmentFormats="0" applyWidthHeightFormats="0">
  <queryTableRefresh nextId="8">
    <queryTableFields count="6">
      <queryTableField id="1" name="Symbol" tableColumnId="1"/>
      <queryTableField id="2" name="Price" tableColumnId="2"/>
      <queryTableField id="3" name="Change" tableColumnId="3"/>
      <queryTableField id="4" name="ChangePercent" tableColumnId="4"/>
      <queryTableField id="5" name="Volume" tableColumnId="5"/>
      <queryTableField id="6" name="Timestamp"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mbol" xr10:uid="{671F591E-7A60-4230-8BDD-61FFCEA6DA70}" sourceName="Symbol">
  <pivotTables>
    <pivotTable tabId="2" name="PivotTable4"/>
    <pivotTable tabId="2" name="PivotTable1"/>
    <pivotTable tabId="2" name="PivotTable14"/>
    <pivotTable tabId="2" name="PivotTable16"/>
    <pivotTable tabId="2" name="PivotTable17"/>
    <pivotTable tabId="2" name="PivotTable7"/>
  </pivotTables>
  <data>
    <tabular pivotCacheId="1556818074">
      <items count="10">
        <i x="0" s="1"/>
        <i x="9" s="1"/>
        <i x="3" s="1"/>
        <i x="7" s="1"/>
        <i x="2" s="1"/>
        <i x="5" s="1"/>
        <i x="1" s="1"/>
        <i x="6" s="1"/>
        <i x="8"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ume_Category_Range" xr10:uid="{783D762A-C0AC-478A-86FB-919E3F6477B8}" sourceName="Volume Category Range">
  <pivotTables>
    <pivotTable tabId="2" name="PivotTable4"/>
    <pivotTable tabId="2" name="PivotTable1"/>
    <pivotTable tabId="2" name="PivotTable14"/>
    <pivotTable tabId="2" name="PivotTable16"/>
    <pivotTable tabId="2" name="PivotTable17"/>
    <pivotTable tabId="2" name="PivotTable7"/>
  </pivotTables>
  <data>
    <tabular pivotCacheId="155681807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 xr10:uid="{2A485D30-4BD7-4ED6-946E-46153435F298}" sourceName="Price Band">
  <pivotTables>
    <pivotTable tabId="2" name="PivotTable4"/>
  </pivotTables>
  <data>
    <tabular pivotCacheId="1556818074">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_Range" xr10:uid="{A90D2366-5AD8-498D-8963-AF18041ED2B8}" sourceName="Price Band Range">
  <pivotTables>
    <pivotTable tabId="2" name="PivotTable4"/>
    <pivotTable tabId="2" name="PivotTable1"/>
    <pivotTable tabId="2" name="PivotTable14"/>
    <pivotTable tabId="2" name="PivotTable16"/>
    <pivotTable tabId="2" name="PivotTable17"/>
    <pivotTable tabId="2" name="PivotTable7"/>
  </pivotTables>
  <data>
    <tabular pivotCacheId="1556818074">
      <items count="4">
        <i x="1"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Movement" xr10:uid="{D87ECC2D-BF27-4873-97B8-12F751AFD620}" sourceName="Price Movement">
  <pivotTables>
    <pivotTable tabId="2" name="PivotTable4"/>
    <pivotTable tabId="2" name="PivotTable1"/>
    <pivotTable tabId="2" name="PivotTable14"/>
    <pivotTable tabId="2" name="PivotTable16"/>
    <pivotTable tabId="2" name="PivotTable17"/>
    <pivotTable tabId="2" name="PivotTable7"/>
  </pivotTables>
  <data>
    <tabular pivotCacheId="155681807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mbol" xr10:uid="{C83545A7-CD8F-4F7E-9B01-28A4910715D8}" cache="Slicer_Symbol" caption="Symbol" rowHeight="234950"/>
  <slicer name="Volume Category Range" xr10:uid="{E268C04F-3140-4751-9D39-CF99BB8F87CD}" cache="Slicer_Volume_Category_Range" caption="Volume Category Range" rowHeight="234950"/>
  <slicer name="Price Band" xr10:uid="{BB0F4BDA-57BD-404C-B4E8-1CB37FFB33DF}" cache="Slicer_Price_Band" caption="Price Band" rowHeight="234950"/>
  <slicer name="Price Band Range" xr10:uid="{76EE01F3-880E-4691-9655-1069728FD3E2}" cache="Slicer_Price_Band_Range" caption="Price Band Range" rowHeight="234950"/>
  <slicer name="Price Movement" xr10:uid="{C8E0FE16-36C6-4B22-84C6-58290C29B8C2}" cache="Slicer_Price_Movement" caption="Price Move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mbol 1" xr10:uid="{0811C5AE-95DD-4CD9-B431-A5772B28E217}" cache="Slicer_Symbol" caption="Symbol" style="SlicerStyleLight6" rowHeight="234950"/>
  <slicer name="Volume Category Range 1" xr10:uid="{8B7BEB85-F219-4440-AC28-9867C07593B6}" cache="Slicer_Volume_Category_Range" caption="Volume Range" style="SlicerStyleOther1" rowHeight="234950"/>
  <slicer name="Price Band Range 1" xr10:uid="{E7E8276F-33CD-4E06-A736-0A5187C459AC}" cache="Slicer_Price_Band_Range" caption="Price Range" style="SlicerStyleLight4" rowHeight="234950"/>
  <slicer name="Price Movement 1" xr10:uid="{B5203DAF-9C4F-45FD-A892-CB735D14F729}" cache="Slicer_Price_Movement" caption="Performanc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9B634E-E958-4E48-BE1C-3D88CA1C4768}" name="Data" displayName="Data" ref="A1:F11" tableType="queryTable" totalsRowShown="0">
  <autoFilter ref="A1:F11" xr:uid="{A19B634E-E958-4E48-BE1C-3D88CA1C4768}"/>
  <tableColumns count="6">
    <tableColumn id="1" xr3:uid="{9E9035E0-3E17-4FCA-B117-39364F77DA7A}" uniqueName="1" name="Symbol" queryTableFieldId="1" dataDxfId="10"/>
    <tableColumn id="2" xr3:uid="{D3D86D18-F875-4F5A-A83C-D0436720B22A}" uniqueName="2" name="Price" queryTableFieldId="2"/>
    <tableColumn id="3" xr3:uid="{66529241-B565-480C-A7D7-2970CCF8B17E}" uniqueName="3" name="Change" queryTableFieldId="3"/>
    <tableColumn id="4" xr3:uid="{670B5ECF-A259-417D-B3F9-ACDAB6B3B027}" uniqueName="4" name="Change%" queryTableFieldId="4"/>
    <tableColumn id="5" xr3:uid="{9E34A0BE-8315-40A0-A6CE-119038B7D941}" uniqueName="5" name="Volume" queryTableFieldId="5"/>
    <tableColumn id="6" xr3:uid="{F7065E17-0C53-47CC-BF3E-E9461218D381}" uniqueName="6" name="Last Updated" queryTableFieldId="6"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6B0B014-8F8B-42AB-9971-F0E5DC1A8AB0}" name="tblStocks" displayName="tblStocks" ref="A1:K11" totalsRowShown="0" tableBorderDxfId="8">
  <autoFilter ref="A1:K11" xr:uid="{E6B0B014-8F8B-42AB-9971-F0E5DC1A8AB0}"/>
  <tableColumns count="11">
    <tableColumn id="1" xr3:uid="{1E83E389-9367-417E-8102-92A065CDC9BF}" name="Symbol" dataDxfId="7">
      <calculatedColumnFormula>Data!A2</calculatedColumnFormula>
    </tableColumn>
    <tableColumn id="2" xr3:uid="{470415C3-7628-4D0E-A2FA-8D2450891CAF}" name="Price">
      <calculatedColumnFormula>Data!B2</calculatedColumnFormula>
    </tableColumn>
    <tableColumn id="3" xr3:uid="{46A0CE42-42FE-4DE5-BC02-A635B3AF909D}" name="Change">
      <calculatedColumnFormula>Data!C2</calculatedColumnFormula>
    </tableColumn>
    <tableColumn id="4" xr3:uid="{0EF5150D-D9B0-46C0-B36E-ADA12D16CE1D}" name="Change%">
      <calculatedColumnFormula>Data!D2</calculatedColumnFormula>
    </tableColumn>
    <tableColumn id="5" xr3:uid="{4C104E35-C78D-41AD-9731-548C01944DC5}" name="Volume">
      <calculatedColumnFormula>Data!E2</calculatedColumnFormula>
    </tableColumn>
    <tableColumn id="6" xr3:uid="{04C14A3A-FFB9-448D-A101-992A00E23F51}" name="Last Updated" dataDxfId="6">
      <calculatedColumnFormula>Data!F2</calculatedColumnFormula>
    </tableColumn>
    <tableColumn id="7" xr3:uid="{65E5127B-54B5-445D-90D0-12CDF928E96A}" name="Price Movement">
      <calculatedColumnFormula>IF(Data[[#This Row],[Change]]&gt;0,"Gain","Loss")</calculatedColumnFormula>
    </tableColumn>
    <tableColumn id="8" xr3:uid="{F2223179-93C0-48D1-80CC-7E28BD8FCE11}" name="Volume Category">
      <calculatedColumnFormula>IF(Data[[#This Row],[Volume]]&gt;50000000,"High","Normal")</calculatedColumnFormula>
    </tableColumn>
    <tableColumn id="9" xr3:uid="{91810375-1549-4902-8B80-995B808895B2}" name="Volume Category Range">
      <calculatedColumnFormula>IF(E2&lt;20000000,"Low (&lt;20M)",
IF(E2&lt;60000000,"Medium (20M-60M)",
"High (&gt;60M)"))</calculatedColumnFormula>
    </tableColumn>
    <tableColumn id="10" xr3:uid="{6CAECE88-DD65-4406-9EE2-47EA5E2B7627}" name="Price Band">
      <calculatedColumnFormula>_xlfn.IFS(Data[[#This Row],[Price]]&gt;1000,"Very High",
Data[[#This Row],[Price]]&gt;500,"High",
Data[[#This Row],[Price]]&gt;100,"Medium",
TRUE,"Low")</calculatedColumnFormula>
    </tableColumn>
    <tableColumn id="11" xr3:uid="{59D0F28C-0427-46BA-BE00-CC900FD3FF3D}" name="Price Band Range">
      <calculatedColumnFormula>IF(B2&lt;100,"Below 100",
IF(B2&lt;300,"100 - 300",
IF(B2&lt;700,"300 - 700","Above 700")))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71916-B91A-40BC-95D6-5201D1F6FE45}">
  <sheetPr codeName="Sheet1"/>
  <dimension ref="A1:F11"/>
  <sheetViews>
    <sheetView workbookViewId="0">
      <selection activeCell="D19" sqref="D19"/>
    </sheetView>
  </sheetViews>
  <sheetFormatPr defaultRowHeight="14.4" x14ac:dyDescent="0.3"/>
  <cols>
    <col min="1" max="1" width="9.5546875" bestFit="1" customWidth="1"/>
    <col min="2" max="2" width="8" bestFit="1" customWidth="1"/>
    <col min="3" max="3" width="9.5546875" bestFit="1" customWidth="1"/>
    <col min="4" max="4" width="16.109375" bestFit="1" customWidth="1"/>
    <col min="5" max="5" width="10" bestFit="1" customWidth="1"/>
    <col min="6" max="6" width="19.77734375" style="1" bestFit="1" customWidth="1"/>
    <col min="8" max="8" width="10.44140625" customWidth="1"/>
    <col min="10" max="10" width="10.77734375" bestFit="1" customWidth="1"/>
  </cols>
  <sheetData>
    <row r="1" spans="1:6" x14ac:dyDescent="0.3">
      <c r="A1" t="s">
        <v>0</v>
      </c>
      <c r="B1" t="s">
        <v>1</v>
      </c>
      <c r="C1" t="s">
        <v>2</v>
      </c>
      <c r="D1" t="s">
        <v>14</v>
      </c>
      <c r="E1" t="s">
        <v>3</v>
      </c>
      <c r="F1" s="1" t="s">
        <v>15</v>
      </c>
    </row>
    <row r="2" spans="1:6" x14ac:dyDescent="0.3">
      <c r="A2" t="s">
        <v>4</v>
      </c>
      <c r="B2">
        <v>325.89</v>
      </c>
      <c r="C2">
        <v>-1.85</v>
      </c>
      <c r="D2">
        <v>-0.5645</v>
      </c>
      <c r="E2">
        <v>38755929</v>
      </c>
      <c r="F2" s="1">
        <v>46226.636145833334</v>
      </c>
    </row>
    <row r="3" spans="1:6" x14ac:dyDescent="0.3">
      <c r="A3" t="s">
        <v>5</v>
      </c>
      <c r="B3">
        <v>390.34</v>
      </c>
      <c r="C3">
        <v>-7.41</v>
      </c>
      <c r="D3">
        <v>-1.863</v>
      </c>
      <c r="E3">
        <v>28142511</v>
      </c>
      <c r="F3" s="1">
        <v>46226.636400462965</v>
      </c>
    </row>
    <row r="4" spans="1:6" x14ac:dyDescent="0.3">
      <c r="A4" t="s">
        <v>6</v>
      </c>
      <c r="B4">
        <v>342.09</v>
      </c>
      <c r="C4">
        <v>-5.0599999999999996</v>
      </c>
      <c r="D4">
        <v>-1.4576</v>
      </c>
      <c r="E4">
        <v>39334140</v>
      </c>
      <c r="F4" s="1">
        <v>46226.636643518519</v>
      </c>
    </row>
    <row r="5" spans="1:6" x14ac:dyDescent="0.3">
      <c r="A5" t="s">
        <v>7</v>
      </c>
      <c r="B5">
        <v>244.85</v>
      </c>
      <c r="C5">
        <v>-2.7</v>
      </c>
      <c r="D5">
        <v>-1.0907</v>
      </c>
      <c r="E5">
        <v>34112732</v>
      </c>
      <c r="F5" s="1">
        <v>46226.63690972222</v>
      </c>
    </row>
    <row r="6" spans="1:6" x14ac:dyDescent="0.3">
      <c r="A6" t="s">
        <v>8</v>
      </c>
      <c r="B6">
        <v>374.01</v>
      </c>
      <c r="C6">
        <v>-4.92</v>
      </c>
      <c r="D6">
        <v>-1.2984</v>
      </c>
      <c r="E6">
        <v>30646124</v>
      </c>
      <c r="F6" s="1">
        <v>46226.637152777781</v>
      </c>
    </row>
    <row r="7" spans="1:6" x14ac:dyDescent="0.3">
      <c r="A7" t="s">
        <v>9</v>
      </c>
      <c r="B7">
        <v>627.16999999999996</v>
      </c>
      <c r="C7">
        <v>-16.64</v>
      </c>
      <c r="D7">
        <v>-2.5846</v>
      </c>
      <c r="E7">
        <v>11019559</v>
      </c>
      <c r="F7" s="1">
        <v>46226.637407407405</v>
      </c>
    </row>
    <row r="8" spans="1:6" x14ac:dyDescent="0.3">
      <c r="A8" t="s">
        <v>10</v>
      </c>
      <c r="B8">
        <v>68.53</v>
      </c>
      <c r="C8">
        <v>-0.14000000000000001</v>
      </c>
      <c r="D8">
        <v>-0.2039</v>
      </c>
      <c r="E8">
        <v>44947331</v>
      </c>
      <c r="F8" s="1">
        <v>46226.637650462966</v>
      </c>
    </row>
    <row r="9" spans="1:6" x14ac:dyDescent="0.3">
      <c r="A9" t="s">
        <v>11</v>
      </c>
      <c r="B9">
        <v>1801.86</v>
      </c>
      <c r="C9">
        <v>0.35</v>
      </c>
      <c r="D9">
        <v>1.9400000000000001E-2</v>
      </c>
      <c r="E9">
        <v>1007366</v>
      </c>
      <c r="F9" s="1">
        <v>46226.63790509259</v>
      </c>
    </row>
    <row r="10" spans="1:6" x14ac:dyDescent="0.3">
      <c r="A10" t="s">
        <v>12</v>
      </c>
      <c r="B10">
        <v>212.06</v>
      </c>
      <c r="C10">
        <v>4.7699999999999996</v>
      </c>
      <c r="D10">
        <v>2.3010999999999999</v>
      </c>
      <c r="E10">
        <v>137645596</v>
      </c>
      <c r="F10" s="1">
        <v>46226.638148148151</v>
      </c>
    </row>
    <row r="11" spans="1:6" x14ac:dyDescent="0.3">
      <c r="A11" t="s">
        <v>13</v>
      </c>
      <c r="B11">
        <v>552.33000000000004</v>
      </c>
      <c r="C11">
        <v>7.9</v>
      </c>
      <c r="D11">
        <v>1.4511000000000001</v>
      </c>
      <c r="E11">
        <v>24776665</v>
      </c>
      <c r="F11" s="1">
        <v>46226.638402777775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4B6A3-9D2C-47C4-83DB-5391EBEB0EB9}">
  <sheetPr codeName="Sheet2"/>
  <dimension ref="A1:K22"/>
  <sheetViews>
    <sheetView workbookViewId="0">
      <selection activeCell="D27" sqref="D27"/>
    </sheetView>
  </sheetViews>
  <sheetFormatPr defaultRowHeight="14.4" x14ac:dyDescent="0.3"/>
  <cols>
    <col min="1" max="1" width="9.5546875" bestFit="1" customWidth="1"/>
    <col min="2" max="2" width="8" bestFit="1" customWidth="1"/>
    <col min="3" max="3" width="9.5546875" bestFit="1" customWidth="1"/>
    <col min="4" max="4" width="11" bestFit="1" customWidth="1"/>
    <col min="5" max="5" width="10" bestFit="1" customWidth="1"/>
    <col min="6" max="6" width="14.33203125" bestFit="1" customWidth="1"/>
    <col min="7" max="7" width="12.5546875" bestFit="1" customWidth="1"/>
    <col min="8" max="8" width="15.33203125" bestFit="1" customWidth="1"/>
    <col min="9" max="9" width="23.77734375" bestFit="1" customWidth="1"/>
    <col min="10" max="10" width="12.109375" bestFit="1" customWidth="1"/>
    <col min="11" max="11" width="17.88671875" bestFit="1" customWidth="1"/>
    <col min="12" max="13" width="7" bestFit="1" customWidth="1"/>
    <col min="14" max="14" width="6" bestFit="1" customWidth="1"/>
    <col min="15" max="15" width="8" bestFit="1" customWidth="1"/>
    <col min="16" max="17" width="7" bestFit="1" customWidth="1"/>
    <col min="18" max="18" width="10.77734375" bestFit="1" customWidth="1"/>
  </cols>
  <sheetData>
    <row r="1" spans="1:11" x14ac:dyDescent="0.3">
      <c r="A1" s="11" t="s">
        <v>0</v>
      </c>
      <c r="B1" t="s">
        <v>1</v>
      </c>
      <c r="C1" t="s">
        <v>2</v>
      </c>
      <c r="D1" t="s">
        <v>14</v>
      </c>
      <c r="E1" t="s">
        <v>3</v>
      </c>
      <c r="F1" s="1" t="s">
        <v>15</v>
      </c>
      <c r="G1" t="s">
        <v>16</v>
      </c>
      <c r="H1" t="s">
        <v>17</v>
      </c>
      <c r="I1" t="s">
        <v>45</v>
      </c>
      <c r="J1" t="s">
        <v>18</v>
      </c>
      <c r="K1" t="s">
        <v>44</v>
      </c>
    </row>
    <row r="2" spans="1:11" x14ac:dyDescent="0.3">
      <c r="A2" s="12" t="str">
        <f>Data!A2</f>
        <v>AAPL</v>
      </c>
      <c r="B2">
        <f>Data!B2</f>
        <v>325.89</v>
      </c>
      <c r="C2">
        <f>Data!C2</f>
        <v>-1.85</v>
      </c>
      <c r="D2">
        <f>Data!D2</f>
        <v>-0.5645</v>
      </c>
      <c r="E2">
        <f>Data!E2</f>
        <v>38755929</v>
      </c>
      <c r="F2" s="1">
        <f>Data!F2</f>
        <v>46226.636145833334</v>
      </c>
      <c r="G2" t="str">
        <f>IF(Data[[#This Row],[Change]]&gt;0,"Gain","Loss")</f>
        <v>Loss</v>
      </c>
      <c r="H2" t="str">
        <f>IF(Data[[#This Row],[Volume]]&gt;50000000,"High","Normal")</f>
        <v>Normal</v>
      </c>
      <c r="I2" t="str">
        <f>IF(E2&lt;20000000,"Low (&lt;20M)",
IF(E2&lt;60000000,"Medium (20M-60M)",
"High (&gt;60M)"))</f>
        <v>Medium (20M-60M)</v>
      </c>
      <c r="J2" t="str">
        <f>_xlfn.IFS(Data[[#This Row],[Price]]&gt;1000,"Very High",
Data[[#This Row],[Price]]&gt;500,"High",
Data[[#This Row],[Price]]&gt;100,"Medium",
TRUE,"Low")</f>
        <v>Medium</v>
      </c>
      <c r="K2" t="str">
        <f>IF(B2&lt;100,"Below 100",
IF(B2&lt;300,"100 - 300",
IF(B2&lt;700,"300 - 700","Above 700")))</f>
        <v>300 - 700</v>
      </c>
    </row>
    <row r="3" spans="1:11" x14ac:dyDescent="0.3">
      <c r="A3" s="13" t="str">
        <f>Data!A3</f>
        <v>MSFT</v>
      </c>
      <c r="B3">
        <f>Data!B3</f>
        <v>390.34</v>
      </c>
      <c r="C3">
        <f>Data!C3</f>
        <v>-7.41</v>
      </c>
      <c r="D3">
        <f>Data!D3</f>
        <v>-1.863</v>
      </c>
      <c r="E3">
        <f>Data!E3</f>
        <v>28142511</v>
      </c>
      <c r="F3" s="1">
        <f>Data!F3</f>
        <v>46226.636400462965</v>
      </c>
      <c r="G3" t="str">
        <f>IF(Data[[#This Row],[Change]]&gt;0,"Gain","Loss")</f>
        <v>Loss</v>
      </c>
      <c r="H3" t="str">
        <f>IF(Data[[#This Row],[Volume]]&gt;50000000,"High","Normal")</f>
        <v>Normal</v>
      </c>
      <c r="I3" t="str">
        <f t="shared" ref="I3:I11" si="0">IF(E3&lt;20000000,"Low (&lt;20M)",
IF(E3&lt;60000000,"Medium (20M-60M)",
"High (&gt;60M)"))</f>
        <v>Medium (20M-60M)</v>
      </c>
      <c r="J3" t="str">
        <f>_xlfn.IFS(Data[[#This Row],[Price]]&gt;1000,"Very High",
Data[[#This Row],[Price]]&gt;500,"High",
Data[[#This Row],[Price]]&gt;100,"Medium",
TRUE,"Low")</f>
        <v>Medium</v>
      </c>
      <c r="K3" t="str">
        <f t="shared" ref="K3:K11" si="1">IF(B3&lt;100,"Below 100",
IF(B3&lt;300,"100 - 300",
IF(B3&lt;700,"300 - 700","Above 700")))</f>
        <v>300 - 700</v>
      </c>
    </row>
    <row r="4" spans="1:11" x14ac:dyDescent="0.3">
      <c r="A4" s="12" t="str">
        <f>Data!A4</f>
        <v>GOOGL</v>
      </c>
      <c r="B4">
        <f>Data!B4</f>
        <v>342.09</v>
      </c>
      <c r="C4">
        <f>Data!C4</f>
        <v>-5.0599999999999996</v>
      </c>
      <c r="D4">
        <f>Data!D4</f>
        <v>-1.4576</v>
      </c>
      <c r="E4">
        <f>Data!E4</f>
        <v>39334140</v>
      </c>
      <c r="F4" s="1">
        <f>Data!F4</f>
        <v>46226.636643518519</v>
      </c>
      <c r="G4" t="str">
        <f>IF(Data[[#This Row],[Change]]&gt;0,"Gain","Loss")</f>
        <v>Loss</v>
      </c>
      <c r="H4" t="str">
        <f>IF(Data[[#This Row],[Volume]]&gt;50000000,"High","Normal")</f>
        <v>Normal</v>
      </c>
      <c r="I4" t="str">
        <f t="shared" si="0"/>
        <v>Medium (20M-60M)</v>
      </c>
      <c r="J4" t="str">
        <f>_xlfn.IFS(Data[[#This Row],[Price]]&gt;1000,"Very High",
Data[[#This Row],[Price]]&gt;500,"High",
Data[[#This Row],[Price]]&gt;100,"Medium",
TRUE,"Low")</f>
        <v>Medium</v>
      </c>
      <c r="K4" t="str">
        <f t="shared" si="1"/>
        <v>300 - 700</v>
      </c>
    </row>
    <row r="5" spans="1:11" x14ac:dyDescent="0.3">
      <c r="A5" s="13" t="str">
        <f>Data!A5</f>
        <v>AMZN</v>
      </c>
      <c r="B5">
        <f>Data!B5</f>
        <v>244.85</v>
      </c>
      <c r="C5">
        <f>Data!C5</f>
        <v>-2.7</v>
      </c>
      <c r="D5">
        <f>Data!D5</f>
        <v>-1.0907</v>
      </c>
      <c r="E5">
        <f>Data!E5</f>
        <v>34112732</v>
      </c>
      <c r="F5" s="1">
        <f>Data!F5</f>
        <v>46226.63690972222</v>
      </c>
      <c r="G5" t="str">
        <f>IF(Data[[#This Row],[Change]]&gt;0,"Gain","Loss")</f>
        <v>Loss</v>
      </c>
      <c r="H5" t="str">
        <f>IF(Data[[#This Row],[Volume]]&gt;50000000,"High","Normal")</f>
        <v>Normal</v>
      </c>
      <c r="I5" t="str">
        <f t="shared" si="0"/>
        <v>Medium (20M-60M)</v>
      </c>
      <c r="J5" t="str">
        <f>_xlfn.IFS(Data[[#This Row],[Price]]&gt;1000,"Very High",
Data[[#This Row],[Price]]&gt;500,"High",
Data[[#This Row],[Price]]&gt;100,"Medium",
TRUE,"Low")</f>
        <v>Medium</v>
      </c>
      <c r="K5" t="str">
        <f t="shared" si="1"/>
        <v>100 - 300</v>
      </c>
    </row>
    <row r="6" spans="1:11" x14ac:dyDescent="0.3">
      <c r="A6" s="12" t="str">
        <f>Data!A6</f>
        <v>TSLA</v>
      </c>
      <c r="B6">
        <f>Data!B6</f>
        <v>374.01</v>
      </c>
      <c r="C6">
        <f>Data!C6</f>
        <v>-4.92</v>
      </c>
      <c r="D6">
        <f>Data!D6</f>
        <v>-1.2984</v>
      </c>
      <c r="E6">
        <f>Data!E6</f>
        <v>30646124</v>
      </c>
      <c r="F6" s="1">
        <f>Data!F6</f>
        <v>46226.637152777781</v>
      </c>
      <c r="G6" t="str">
        <f>IF(Data[[#This Row],[Change]]&gt;0,"Gain","Loss")</f>
        <v>Loss</v>
      </c>
      <c r="H6" t="str">
        <f>IF(Data[[#This Row],[Volume]]&gt;50000000,"High","Normal")</f>
        <v>Normal</v>
      </c>
      <c r="I6" t="str">
        <f t="shared" si="0"/>
        <v>Medium (20M-60M)</v>
      </c>
      <c r="J6" t="str">
        <f>_xlfn.IFS(Data[[#This Row],[Price]]&gt;1000,"Very High",
Data[[#This Row],[Price]]&gt;500,"High",
Data[[#This Row],[Price]]&gt;100,"Medium",
TRUE,"Low")</f>
        <v>Medium</v>
      </c>
      <c r="K6" t="str">
        <f t="shared" si="1"/>
        <v>300 - 700</v>
      </c>
    </row>
    <row r="7" spans="1:11" x14ac:dyDescent="0.3">
      <c r="A7" s="13" t="str">
        <f>Data!A7</f>
        <v>META</v>
      </c>
      <c r="B7">
        <f>Data!B7</f>
        <v>627.16999999999996</v>
      </c>
      <c r="C7">
        <f>Data!C7</f>
        <v>-16.64</v>
      </c>
      <c r="D7">
        <f>Data!D7</f>
        <v>-2.5846</v>
      </c>
      <c r="E7">
        <f>Data!E7</f>
        <v>11019559</v>
      </c>
      <c r="F7" s="1">
        <f>Data!F7</f>
        <v>46226.637407407405</v>
      </c>
      <c r="G7" t="str">
        <f>IF(Data[[#This Row],[Change]]&gt;0,"Gain","Loss")</f>
        <v>Loss</v>
      </c>
      <c r="H7" t="str">
        <f>IF(Data[[#This Row],[Volume]]&gt;50000000,"High","Normal")</f>
        <v>Normal</v>
      </c>
      <c r="I7" t="str">
        <f t="shared" si="0"/>
        <v>Low (&lt;20M)</v>
      </c>
      <c r="J7" t="str">
        <f>_xlfn.IFS(Data[[#This Row],[Price]]&gt;1000,"Very High",
Data[[#This Row],[Price]]&gt;500,"High",
Data[[#This Row],[Price]]&gt;100,"Medium",
TRUE,"Low")</f>
        <v>High</v>
      </c>
      <c r="K7" t="str">
        <f t="shared" si="1"/>
        <v>300 - 700</v>
      </c>
    </row>
    <row r="8" spans="1:11" x14ac:dyDescent="0.3">
      <c r="A8" s="12" t="str">
        <f>Data!A8</f>
        <v>NFLX</v>
      </c>
      <c r="B8">
        <f>Data!B8</f>
        <v>68.53</v>
      </c>
      <c r="C8">
        <f>Data!C8</f>
        <v>-0.14000000000000001</v>
      </c>
      <c r="D8">
        <f>Data!D8</f>
        <v>-0.2039</v>
      </c>
      <c r="E8">
        <f>Data!E8</f>
        <v>44947331</v>
      </c>
      <c r="F8" s="1">
        <f>Data!F8</f>
        <v>46226.637650462966</v>
      </c>
      <c r="G8" t="str">
        <f>IF(Data[[#This Row],[Change]]&gt;0,"Gain","Loss")</f>
        <v>Loss</v>
      </c>
      <c r="H8" t="str">
        <f>IF(Data[[#This Row],[Volume]]&gt;50000000,"High","Normal")</f>
        <v>Normal</v>
      </c>
      <c r="I8" t="str">
        <f t="shared" si="0"/>
        <v>Medium (20M-60M)</v>
      </c>
      <c r="J8" t="str">
        <f>_xlfn.IFS(Data[[#This Row],[Price]]&gt;1000,"Very High",
Data[[#This Row],[Price]]&gt;500,"High",
Data[[#This Row],[Price]]&gt;100,"Medium",
TRUE,"Low")</f>
        <v>Low</v>
      </c>
      <c r="K8" t="str">
        <f t="shared" si="1"/>
        <v>Below 100</v>
      </c>
    </row>
    <row r="9" spans="1:11" x14ac:dyDescent="0.3">
      <c r="A9" s="13" t="str">
        <f>Data!A9</f>
        <v>ASML</v>
      </c>
      <c r="B9">
        <f>Data!B9</f>
        <v>1801.86</v>
      </c>
      <c r="C9">
        <f>Data!C9</f>
        <v>0.35</v>
      </c>
      <c r="D9">
        <f>Data!D9</f>
        <v>1.9400000000000001E-2</v>
      </c>
      <c r="E9">
        <f>Data!E9</f>
        <v>1007366</v>
      </c>
      <c r="F9" s="1">
        <f>Data!F9</f>
        <v>46226.63790509259</v>
      </c>
      <c r="G9" t="str">
        <f>IF(Data[[#This Row],[Change]]&gt;0,"Gain","Loss")</f>
        <v>Gain</v>
      </c>
      <c r="H9" t="str">
        <f>IF(Data[[#This Row],[Volume]]&gt;50000000,"High","Normal")</f>
        <v>Normal</v>
      </c>
      <c r="I9" t="str">
        <f t="shared" si="0"/>
        <v>Low (&lt;20M)</v>
      </c>
      <c r="J9" t="str">
        <f>_xlfn.IFS(Data[[#This Row],[Price]]&gt;1000,"Very High",
Data[[#This Row],[Price]]&gt;500,"High",
Data[[#This Row],[Price]]&gt;100,"Medium",
TRUE,"Low")</f>
        <v>Very High</v>
      </c>
      <c r="K9" t="str">
        <f t="shared" si="1"/>
        <v>Above 700</v>
      </c>
    </row>
    <row r="10" spans="1:11" x14ac:dyDescent="0.3">
      <c r="A10" s="12" t="str">
        <f>Data!A10</f>
        <v>NVDA</v>
      </c>
      <c r="B10">
        <f>Data!B10</f>
        <v>212.06</v>
      </c>
      <c r="C10">
        <f>Data!C10</f>
        <v>4.7699999999999996</v>
      </c>
      <c r="D10">
        <f>Data!D10</f>
        <v>2.3010999999999999</v>
      </c>
      <c r="E10">
        <f>Data!E10</f>
        <v>137645596</v>
      </c>
      <c r="F10" s="1">
        <f>Data!F10</f>
        <v>46226.638148148151</v>
      </c>
      <c r="G10" t="str">
        <f>IF(Data[[#This Row],[Change]]&gt;0,"Gain","Loss")</f>
        <v>Gain</v>
      </c>
      <c r="H10" t="str">
        <f>IF(Data[[#This Row],[Volume]]&gt;50000000,"High","Normal")</f>
        <v>High</v>
      </c>
      <c r="I10" t="str">
        <f t="shared" si="0"/>
        <v>High (&gt;60M)</v>
      </c>
      <c r="J10" t="str">
        <f>_xlfn.IFS(Data[[#This Row],[Price]]&gt;1000,"Very High",
Data[[#This Row],[Price]]&gt;500,"High",
Data[[#This Row],[Price]]&gt;100,"Medium",
TRUE,"Low")</f>
        <v>Medium</v>
      </c>
      <c r="K10" t="str">
        <f t="shared" si="1"/>
        <v>100 - 300</v>
      </c>
    </row>
    <row r="11" spans="1:11" x14ac:dyDescent="0.3">
      <c r="A11" s="13" t="str">
        <f>Data!A11</f>
        <v>AMD</v>
      </c>
      <c r="B11">
        <f>Data!B11</f>
        <v>552.33000000000004</v>
      </c>
      <c r="C11">
        <f>Data!C11</f>
        <v>7.9</v>
      </c>
      <c r="D11">
        <f>Data!D11</f>
        <v>1.4511000000000001</v>
      </c>
      <c r="E11">
        <f>Data!E11</f>
        <v>24776665</v>
      </c>
      <c r="F11" s="1">
        <f>Data!F11</f>
        <v>46226.638402777775</v>
      </c>
      <c r="G11" t="str">
        <f>IF(Data[[#This Row],[Change]]&gt;0,"Gain","Loss")</f>
        <v>Gain</v>
      </c>
      <c r="H11" t="str">
        <f>IF(Data[[#This Row],[Volume]]&gt;50000000,"High","Normal")</f>
        <v>Normal</v>
      </c>
      <c r="I11" t="str">
        <f t="shared" si="0"/>
        <v>Medium (20M-60M)</v>
      </c>
      <c r="J11" t="str">
        <f>_xlfn.IFS(Data[[#This Row],[Price]]&gt;1000,"Very High",
Data[[#This Row],[Price]]&gt;500,"High",
Data[[#This Row],[Price]]&gt;100,"Medium",
TRUE,"Low")</f>
        <v>High</v>
      </c>
      <c r="K11" t="str">
        <f t="shared" si="1"/>
        <v>300 - 700</v>
      </c>
    </row>
    <row r="16" spans="1:11" x14ac:dyDescent="0.3">
      <c r="G16" s="2" t="s">
        <v>19</v>
      </c>
      <c r="H16" t="s">
        <v>39</v>
      </c>
    </row>
    <row r="17" spans="7:8" x14ac:dyDescent="0.3">
      <c r="G17" s="3" t="s">
        <v>12</v>
      </c>
      <c r="H17">
        <v>2.3010999999999999</v>
      </c>
    </row>
    <row r="18" spans="7:8" x14ac:dyDescent="0.3">
      <c r="G18" s="3" t="s">
        <v>13</v>
      </c>
      <c r="H18">
        <v>1.4511000000000001</v>
      </c>
    </row>
    <row r="19" spans="7:8" x14ac:dyDescent="0.3">
      <c r="G19" s="3" t="s">
        <v>11</v>
      </c>
      <c r="H19">
        <v>1.9400000000000001E-2</v>
      </c>
    </row>
    <row r="20" spans="7:8" x14ac:dyDescent="0.3">
      <c r="G20" s="3" t="s">
        <v>10</v>
      </c>
      <c r="H20">
        <v>-0.2039</v>
      </c>
    </row>
    <row r="21" spans="7:8" x14ac:dyDescent="0.3">
      <c r="G21" s="3" t="s">
        <v>4</v>
      </c>
      <c r="H21">
        <v>-0.5645</v>
      </c>
    </row>
    <row r="22" spans="7:8" x14ac:dyDescent="0.3">
      <c r="G22" s="3" t="s">
        <v>20</v>
      </c>
      <c r="H22">
        <v>3.0032000000000001</v>
      </c>
    </row>
  </sheetData>
  <conditionalFormatting sqref="A1:A11 K1 G1:J11">
    <cfRule type="colorScale" priority="7">
      <colorScale>
        <cfvo type="min"/>
        <cfvo type="percentile" val="50"/>
        <cfvo type="max"/>
        <color rgb="FF63BE7B"/>
        <color rgb="FFFFEB84"/>
        <color rgb="FFF8696B"/>
      </colorScale>
    </cfRule>
    <cfRule type="colorScale" priority="8">
      <colorScale>
        <cfvo type="min"/>
        <cfvo type="max"/>
        <color rgb="FF63BE7B"/>
        <color rgb="FFFCFCFF"/>
      </colorScale>
    </cfRule>
  </conditionalFormatting>
  <conditionalFormatting sqref="C2:J11">
    <cfRule type="dataBar" priority="4">
      <dataBar>
        <cfvo type="min"/>
        <cfvo type="max"/>
        <color rgb="FF638EC6"/>
      </dataBar>
      <extLst>
        <ext xmlns:x14="http://schemas.microsoft.com/office/spreadsheetml/2009/9/main" uri="{B025F937-C7B1-47D3-B67F-A62EFF666E3E}">
          <x14:id>{D953E0F4-812D-465C-9392-5B38DF748A19}</x14:id>
        </ext>
      </extLst>
    </cfRule>
  </conditionalFormatting>
  <conditionalFormatting sqref="G2:G11">
    <cfRule type="cellIs" dxfId="5" priority="2" operator="equal">
      <formula>"Loss"</formula>
    </cfRule>
  </conditionalFormatting>
  <conditionalFormatting sqref="G9:G12">
    <cfRule type="uniqueValues" dxfId="4" priority="1"/>
  </conditionalFormatting>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953E0F4-812D-465C-9392-5B38DF748A19}">
            <x14:dataBar minLength="0" maxLength="100" gradient="0">
              <x14:cfvo type="autoMin"/>
              <x14:cfvo type="autoMax"/>
              <x14:negativeFillColor rgb="FFFF0000"/>
              <x14:axisColor rgb="FF000000"/>
            </x14:dataBar>
          </x14:cfRule>
          <xm:sqref>C2:J11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2D49D-7B98-42B4-B039-8202A707716D}">
  <sheetPr codeName="Sheet3"/>
  <dimension ref="A1:L46"/>
  <sheetViews>
    <sheetView zoomScale="49" zoomScaleNormal="63" workbookViewId="0">
      <selection activeCell="I46" sqref="I46"/>
    </sheetView>
  </sheetViews>
  <sheetFormatPr defaultRowHeight="14.4" x14ac:dyDescent="0.3"/>
  <cols>
    <col min="1" max="1" width="26" bestFit="1" customWidth="1"/>
    <col min="2" max="2" width="21.6640625" bestFit="1" customWidth="1"/>
    <col min="3" max="3" width="11.6640625" bestFit="1" customWidth="1"/>
    <col min="4" max="4" width="11.33203125" bestFit="1" customWidth="1"/>
    <col min="5" max="5" width="16.21875" bestFit="1" customWidth="1"/>
    <col min="6" max="6" width="19.77734375" customWidth="1"/>
    <col min="7" max="7" width="14.21875" customWidth="1"/>
    <col min="11" max="11" width="19.6640625" bestFit="1" customWidth="1"/>
    <col min="12" max="12" width="21.6640625" bestFit="1" customWidth="1"/>
    <col min="13" max="13" width="13.88671875" bestFit="1" customWidth="1"/>
    <col min="14" max="14" width="11.33203125" bestFit="1" customWidth="1"/>
    <col min="21" max="21" width="12.6640625" bestFit="1" customWidth="1"/>
    <col min="22" max="22" width="15.21875" bestFit="1" customWidth="1"/>
    <col min="23" max="23" width="15.33203125" bestFit="1" customWidth="1"/>
  </cols>
  <sheetData>
    <row r="1" spans="1:12" x14ac:dyDescent="0.3">
      <c r="A1" s="2" t="s">
        <v>23</v>
      </c>
      <c r="B1" t="s">
        <v>21</v>
      </c>
      <c r="K1" s="2" t="s">
        <v>23</v>
      </c>
      <c r="L1" t="s">
        <v>22</v>
      </c>
    </row>
    <row r="2" spans="1:12" x14ac:dyDescent="0.3">
      <c r="A2" s="3" t="s">
        <v>4</v>
      </c>
      <c r="B2">
        <v>325.89</v>
      </c>
      <c r="K2" s="3" t="s">
        <v>4</v>
      </c>
      <c r="L2">
        <v>38755929</v>
      </c>
    </row>
    <row r="3" spans="1:12" x14ac:dyDescent="0.3">
      <c r="A3" s="3" t="s">
        <v>13</v>
      </c>
      <c r="B3">
        <v>552.33000000000004</v>
      </c>
      <c r="K3" s="3" t="s">
        <v>13</v>
      </c>
      <c r="L3">
        <v>24776665</v>
      </c>
    </row>
    <row r="4" spans="1:12" x14ac:dyDescent="0.3">
      <c r="A4" s="3" t="s">
        <v>7</v>
      </c>
      <c r="B4">
        <v>244.85</v>
      </c>
      <c r="K4" s="3" t="s">
        <v>7</v>
      </c>
      <c r="L4">
        <v>34112732</v>
      </c>
    </row>
    <row r="5" spans="1:12" x14ac:dyDescent="0.3">
      <c r="A5" s="3" t="s">
        <v>11</v>
      </c>
      <c r="B5">
        <v>1801.86</v>
      </c>
      <c r="K5" s="3" t="s">
        <v>11</v>
      </c>
      <c r="L5">
        <v>1007366</v>
      </c>
    </row>
    <row r="6" spans="1:12" x14ac:dyDescent="0.3">
      <c r="A6" s="3" t="s">
        <v>6</v>
      </c>
      <c r="B6">
        <v>342.09</v>
      </c>
      <c r="K6" s="3" t="s">
        <v>6</v>
      </c>
      <c r="L6">
        <v>39334140</v>
      </c>
    </row>
    <row r="7" spans="1:12" x14ac:dyDescent="0.3">
      <c r="A7" s="3" t="s">
        <v>9</v>
      </c>
      <c r="B7">
        <v>627.16999999999996</v>
      </c>
      <c r="K7" s="3" t="s">
        <v>9</v>
      </c>
      <c r="L7">
        <v>11019559</v>
      </c>
    </row>
    <row r="8" spans="1:12" x14ac:dyDescent="0.3">
      <c r="A8" s="3" t="s">
        <v>5</v>
      </c>
      <c r="B8">
        <v>390.34</v>
      </c>
      <c r="K8" s="3" t="s">
        <v>5</v>
      </c>
      <c r="L8">
        <v>28142511</v>
      </c>
    </row>
    <row r="9" spans="1:12" x14ac:dyDescent="0.3">
      <c r="A9" s="3" t="s">
        <v>10</v>
      </c>
      <c r="B9">
        <v>68.53</v>
      </c>
      <c r="K9" s="3" t="s">
        <v>10</v>
      </c>
      <c r="L9">
        <v>44947331</v>
      </c>
    </row>
    <row r="10" spans="1:12" x14ac:dyDescent="0.3">
      <c r="A10" s="3" t="s">
        <v>12</v>
      </c>
      <c r="B10">
        <v>212.06</v>
      </c>
      <c r="K10" s="3" t="s">
        <v>12</v>
      </c>
      <c r="L10">
        <v>137645596</v>
      </c>
    </row>
    <row r="11" spans="1:12" x14ac:dyDescent="0.3">
      <c r="A11" s="3" t="s">
        <v>8</v>
      </c>
      <c r="B11">
        <v>374.01</v>
      </c>
      <c r="K11" s="3" t="s">
        <v>8</v>
      </c>
      <c r="L11">
        <v>30646124</v>
      </c>
    </row>
    <row r="12" spans="1:12" x14ac:dyDescent="0.3">
      <c r="A12" s="3" t="s">
        <v>20</v>
      </c>
      <c r="B12">
        <v>4939.13</v>
      </c>
      <c r="K12" s="3" t="s">
        <v>20</v>
      </c>
      <c r="L12">
        <v>390387953</v>
      </c>
    </row>
    <row r="15" spans="1:12" x14ac:dyDescent="0.3">
      <c r="A15" s="2" t="s">
        <v>16</v>
      </c>
      <c r="B15" t="s">
        <v>26</v>
      </c>
      <c r="K15" s="2" t="s">
        <v>19</v>
      </c>
      <c r="L15" t="s">
        <v>21</v>
      </c>
    </row>
    <row r="16" spans="1:12" x14ac:dyDescent="0.3">
      <c r="A16" s="3" t="s">
        <v>25</v>
      </c>
      <c r="B16">
        <v>3</v>
      </c>
      <c r="K16" s="3" t="s">
        <v>35</v>
      </c>
      <c r="L16">
        <v>1179.5</v>
      </c>
    </row>
    <row r="17" spans="1:12" x14ac:dyDescent="0.3">
      <c r="A17" s="3" t="s">
        <v>24</v>
      </c>
      <c r="B17">
        <v>7</v>
      </c>
      <c r="K17" s="3" t="s">
        <v>38</v>
      </c>
      <c r="L17">
        <v>68.53</v>
      </c>
    </row>
    <row r="18" spans="1:12" x14ac:dyDescent="0.3">
      <c r="A18" s="3" t="s">
        <v>20</v>
      </c>
      <c r="B18">
        <v>10</v>
      </c>
      <c r="K18" s="3" t="s">
        <v>36</v>
      </c>
      <c r="L18">
        <v>1889.2399999999998</v>
      </c>
    </row>
    <row r="19" spans="1:12" x14ac:dyDescent="0.3">
      <c r="K19" s="3" t="s">
        <v>37</v>
      </c>
      <c r="L19">
        <v>1801.86</v>
      </c>
    </row>
    <row r="20" spans="1:12" x14ac:dyDescent="0.3">
      <c r="K20" s="3" t="s">
        <v>20</v>
      </c>
      <c r="L20">
        <v>4939.1299999999992</v>
      </c>
    </row>
    <row r="24" spans="1:12" x14ac:dyDescent="0.3">
      <c r="A24" s="2" t="s">
        <v>19</v>
      </c>
      <c r="B24" t="s">
        <v>40</v>
      </c>
    </row>
    <row r="25" spans="1:12" x14ac:dyDescent="0.3">
      <c r="A25" s="3" t="s">
        <v>35</v>
      </c>
      <c r="B25">
        <v>137645596</v>
      </c>
    </row>
    <row r="26" spans="1:12" x14ac:dyDescent="0.3">
      <c r="A26" s="3" t="s">
        <v>34</v>
      </c>
      <c r="B26">
        <v>28082484.111111112</v>
      </c>
    </row>
    <row r="27" spans="1:12" x14ac:dyDescent="0.3">
      <c r="A27" s="3" t="s">
        <v>20</v>
      </c>
      <c r="B27">
        <v>39038795.299999997</v>
      </c>
    </row>
    <row r="29" spans="1:12" x14ac:dyDescent="0.3">
      <c r="K29" s="2" t="s">
        <v>19</v>
      </c>
      <c r="L29" t="s">
        <v>39</v>
      </c>
    </row>
    <row r="30" spans="1:12" x14ac:dyDescent="0.3">
      <c r="K30" s="3" t="s">
        <v>4</v>
      </c>
      <c r="L30">
        <v>-0.5645</v>
      </c>
    </row>
    <row r="31" spans="1:12" x14ac:dyDescent="0.3">
      <c r="K31" s="3" t="s">
        <v>13</v>
      </c>
      <c r="L31">
        <v>1.4511000000000001</v>
      </c>
    </row>
    <row r="32" spans="1:12" x14ac:dyDescent="0.3">
      <c r="K32" s="3" t="s">
        <v>7</v>
      </c>
      <c r="L32">
        <v>-1.0907</v>
      </c>
    </row>
    <row r="33" spans="1:12" x14ac:dyDescent="0.3">
      <c r="K33" s="3" t="s">
        <v>11</v>
      </c>
      <c r="L33">
        <v>1.9400000000000001E-2</v>
      </c>
    </row>
    <row r="34" spans="1:12" x14ac:dyDescent="0.3">
      <c r="K34" s="3" t="s">
        <v>6</v>
      </c>
      <c r="L34">
        <v>-1.4576</v>
      </c>
    </row>
    <row r="35" spans="1:12" x14ac:dyDescent="0.3">
      <c r="K35" s="3" t="s">
        <v>9</v>
      </c>
      <c r="L35">
        <v>-2.5846</v>
      </c>
    </row>
    <row r="36" spans="1:12" x14ac:dyDescent="0.3">
      <c r="K36" s="3" t="s">
        <v>5</v>
      </c>
      <c r="L36">
        <v>-1.863</v>
      </c>
    </row>
    <row r="37" spans="1:12" x14ac:dyDescent="0.3">
      <c r="K37" s="3" t="s">
        <v>10</v>
      </c>
      <c r="L37">
        <v>-0.2039</v>
      </c>
    </row>
    <row r="38" spans="1:12" x14ac:dyDescent="0.3">
      <c r="K38" s="3" t="s">
        <v>12</v>
      </c>
      <c r="L38">
        <v>2.3010999999999999</v>
      </c>
    </row>
    <row r="39" spans="1:12" x14ac:dyDescent="0.3">
      <c r="K39" s="3" t="s">
        <v>8</v>
      </c>
      <c r="L39">
        <v>-1.2984</v>
      </c>
    </row>
    <row r="40" spans="1:12" x14ac:dyDescent="0.3">
      <c r="K40" s="3" t="s">
        <v>20</v>
      </c>
      <c r="L40">
        <v>-5.2911000000000001</v>
      </c>
    </row>
    <row r="43" spans="1:12" x14ac:dyDescent="0.3">
      <c r="A43" t="s">
        <v>27</v>
      </c>
    </row>
    <row r="45" spans="1:12" x14ac:dyDescent="0.3">
      <c r="A45" t="s">
        <v>28</v>
      </c>
      <c r="B45" t="s">
        <v>29</v>
      </c>
      <c r="C45" t="s">
        <v>30</v>
      </c>
      <c r="D45" t="s">
        <v>31</v>
      </c>
      <c r="E45" t="s">
        <v>32</v>
      </c>
      <c r="F45" t="s">
        <v>33</v>
      </c>
      <c r="G45" t="s">
        <v>41</v>
      </c>
      <c r="H45" t="s">
        <v>42</v>
      </c>
      <c r="I45" t="s">
        <v>43</v>
      </c>
      <c r="K45" s="15"/>
    </row>
    <row r="46" spans="1:12" x14ac:dyDescent="0.3">
      <c r="A46">
        <f>COUNTA(Data!A2:A11)</f>
        <v>10</v>
      </c>
      <c r="B46" s="8">
        <f>AVERAGE(Data!B2:B11)</f>
        <v>493.91300000000001</v>
      </c>
      <c r="C46">
        <f>MAX(Data[Price])</f>
        <v>1801.86</v>
      </c>
      <c r="D46">
        <f>MIN(Data[Price])</f>
        <v>68.53</v>
      </c>
      <c r="E46" s="16">
        <f>AVERAGE(Data[Change%])</f>
        <v>-0.52911000000000019</v>
      </c>
      <c r="F46" s="9">
        <f>SUM(Data[Volume])</f>
        <v>390387953</v>
      </c>
      <c r="G46">
        <f>AVERAGE(Data!D2:D11)</f>
        <v>-0.52911000000000019</v>
      </c>
      <c r="H46">
        <f>COUNTIF(Calculations!G2:G11,"Gain")</f>
        <v>3</v>
      </c>
      <c r="I46">
        <f>COUNTIF(Calculations!G2:G11,"Loss")</f>
        <v>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3C88-FB5D-4F03-8F78-39588387F935}">
  <sheetPr codeName="Sheet4"/>
  <dimension ref="A1:Z50"/>
  <sheetViews>
    <sheetView showGridLines="0" showRowColHeaders="0" tabSelected="1" zoomScale="60" zoomScaleNormal="60" workbookViewId="0">
      <selection activeCell="Y8" sqref="Y8"/>
    </sheetView>
  </sheetViews>
  <sheetFormatPr defaultRowHeight="14.4" x14ac:dyDescent="0.3"/>
  <cols>
    <col min="2" max="2" width="12.21875" bestFit="1" customWidth="1"/>
    <col min="3" max="3" width="10.44140625" bestFit="1" customWidth="1"/>
    <col min="4" max="4" width="12.5546875" bestFit="1" customWidth="1"/>
    <col min="5" max="5" width="15.33203125" bestFit="1" customWidth="1"/>
    <col min="6" max="6" width="13.21875" bestFit="1" customWidth="1"/>
    <col min="7" max="7" width="20.6640625" bestFit="1" customWidth="1"/>
    <col min="8" max="8" width="19.5546875" bestFit="1" customWidth="1"/>
    <col min="9" max="9" width="23.109375" bestFit="1" customWidth="1"/>
    <col min="10" max="10" width="18" bestFit="1" customWidth="1"/>
    <col min="11" max="11" width="3" customWidth="1"/>
    <col min="12" max="12" width="9.88671875" customWidth="1"/>
    <col min="13" max="13" width="11.77734375" customWidth="1"/>
    <col min="14" max="14" width="11" customWidth="1"/>
    <col min="15" max="15" width="3.44140625" customWidth="1"/>
    <col min="16" max="16" width="9.6640625" customWidth="1"/>
    <col min="17" max="17" width="12.21875" customWidth="1"/>
    <col min="18" max="19" width="9.44140625" customWidth="1"/>
    <col min="20" max="20" width="18.5546875" customWidth="1"/>
    <col min="21" max="21" width="2.33203125" customWidth="1"/>
    <col min="22" max="22" width="2.88671875" customWidth="1"/>
  </cols>
  <sheetData>
    <row r="1" spans="1:26" ht="25.05" customHeight="1" x14ac:dyDescent="0.3">
      <c r="A1" s="4"/>
      <c r="B1" s="4"/>
      <c r="C1" s="4"/>
      <c r="D1" s="4"/>
      <c r="E1" s="4"/>
      <c r="F1" s="4"/>
      <c r="G1" s="4"/>
      <c r="H1" s="4"/>
      <c r="I1" s="4"/>
      <c r="J1" s="4"/>
      <c r="K1" s="4"/>
      <c r="L1" s="4"/>
      <c r="M1" s="4"/>
      <c r="N1" s="4"/>
      <c r="O1" s="4"/>
      <c r="P1" s="4"/>
      <c r="Q1" s="4"/>
      <c r="R1" s="4"/>
      <c r="S1" s="4"/>
      <c r="T1" s="4"/>
      <c r="U1" s="34">
        <v>46227.664421296293</v>
      </c>
      <c r="V1" s="4"/>
      <c r="W1" s="6"/>
      <c r="X1" s="6"/>
      <c r="Y1" s="6"/>
      <c r="Z1" s="6"/>
    </row>
    <row r="2" spans="1:26" ht="25.05" customHeight="1" x14ac:dyDescent="0.5">
      <c r="A2" s="5"/>
      <c r="B2" s="5"/>
      <c r="C2" s="5"/>
      <c r="D2" s="5"/>
      <c r="E2" s="5"/>
      <c r="F2" s="5"/>
      <c r="G2" s="5"/>
      <c r="H2" s="5"/>
      <c r="I2" s="5"/>
      <c r="J2" s="5"/>
      <c r="K2" s="5"/>
      <c r="L2" s="5"/>
      <c r="M2" s="5"/>
      <c r="N2" s="5"/>
      <c r="O2" s="5"/>
      <c r="P2" s="5"/>
      <c r="Q2" s="5"/>
      <c r="R2" s="5"/>
      <c r="S2" s="10"/>
      <c r="T2" s="14">
        <f>MAX(Data!F2:F11)</f>
        <v>46226.638402777775</v>
      </c>
      <c r="U2" s="5"/>
      <c r="V2" s="5"/>
      <c r="W2" s="7"/>
      <c r="X2" s="7"/>
      <c r="Y2" s="7"/>
      <c r="Z2" s="7"/>
    </row>
    <row r="3" spans="1:26" ht="25.05" customHeight="1" x14ac:dyDescent="0.3"/>
    <row r="4" spans="1:26" ht="25.05" customHeight="1" x14ac:dyDescent="0.3">
      <c r="S4" s="1"/>
    </row>
    <row r="5" spans="1:26" ht="25.05" customHeight="1" x14ac:dyDescent="0.3"/>
    <row r="6" spans="1:26" ht="25.05" customHeight="1" x14ac:dyDescent="0.3"/>
    <row r="7" spans="1:26" ht="25.05" customHeight="1" x14ac:dyDescent="0.3"/>
    <row r="8" spans="1:26" ht="25.05" customHeight="1" x14ac:dyDescent="0.3"/>
    <row r="9" spans="1:26" ht="25.05" customHeight="1" x14ac:dyDescent="0.3"/>
    <row r="10" spans="1:26" ht="25.05" customHeight="1" x14ac:dyDescent="0.3"/>
    <row r="11" spans="1:26" ht="25.05" customHeight="1" x14ac:dyDescent="0.3"/>
    <row r="12" spans="1:26" ht="25.05" customHeight="1" x14ac:dyDescent="0.3"/>
    <row r="13" spans="1:26" ht="25.05" customHeight="1" x14ac:dyDescent="0.3"/>
    <row r="14" spans="1:26" ht="25.05" customHeight="1" x14ac:dyDescent="0.3"/>
    <row r="15" spans="1:26" ht="25.05" customHeight="1" x14ac:dyDescent="0.3"/>
    <row r="16" spans="1:26" ht="25.05" customHeight="1" x14ac:dyDescent="0.3"/>
    <row r="17" spans="2:18" ht="25.05" customHeight="1" x14ac:dyDescent="0.3"/>
    <row r="18" spans="2:18" ht="25.05" customHeight="1" x14ac:dyDescent="0.3"/>
    <row r="19" spans="2:18" ht="25.05" customHeight="1" x14ac:dyDescent="0.3"/>
    <row r="20" spans="2:18" ht="25.05" customHeight="1" x14ac:dyDescent="0.3">
      <c r="B20" s="33" t="s">
        <v>0</v>
      </c>
      <c r="C20" s="33" t="s">
        <v>1</v>
      </c>
      <c r="D20" s="33" t="s">
        <v>2</v>
      </c>
      <c r="E20" s="33" t="s">
        <v>14</v>
      </c>
      <c r="F20" s="33" t="s">
        <v>3</v>
      </c>
      <c r="G20" s="33" t="s">
        <v>46</v>
      </c>
      <c r="H20" s="33" t="s">
        <v>47</v>
      </c>
      <c r="I20" s="33" t="s">
        <v>48</v>
      </c>
      <c r="J20" s="33" t="s">
        <v>49</v>
      </c>
    </row>
    <row r="21" spans="2:18" ht="25.05" customHeight="1" x14ac:dyDescent="0.3">
      <c r="B21" s="22" t="str">
        <f>Calculations!A2</f>
        <v>AAPL</v>
      </c>
      <c r="C21" s="23">
        <f>Calculations!B2</f>
        <v>325.89</v>
      </c>
      <c r="D21" s="23">
        <f>Calculations!C2</f>
        <v>-1.85</v>
      </c>
      <c r="E21" s="23">
        <f>Calculations!D2</f>
        <v>-0.5645</v>
      </c>
      <c r="F21" s="23">
        <f>Calculations!E2</f>
        <v>38755929</v>
      </c>
      <c r="G21" s="23" t="str">
        <f>Calculations!G2</f>
        <v>Loss</v>
      </c>
      <c r="H21" s="23" t="str">
        <f>Calculations!K2</f>
        <v>300 - 700</v>
      </c>
      <c r="I21" s="24" t="str">
        <f>Calculations!I2</f>
        <v>Medium (20M-60M)</v>
      </c>
      <c r="J21" s="25">
        <f>Calculations!F2</f>
        <v>46226.636145833334</v>
      </c>
    </row>
    <row r="22" spans="2:18" ht="25.05" customHeight="1" x14ac:dyDescent="0.3">
      <c r="B22" s="26" t="str">
        <f>Calculations!A3</f>
        <v>MSFT</v>
      </c>
      <c r="C22" s="27">
        <f>Calculations!B3</f>
        <v>390.34</v>
      </c>
      <c r="D22" s="27">
        <f>Calculations!C3</f>
        <v>-7.41</v>
      </c>
      <c r="E22" s="27">
        <f>Calculations!D3</f>
        <v>-1.863</v>
      </c>
      <c r="F22" s="27">
        <f>Calculations!E3</f>
        <v>28142511</v>
      </c>
      <c r="G22" s="27" t="str">
        <f>Calculations!G3</f>
        <v>Loss</v>
      </c>
      <c r="H22" s="27" t="str">
        <f>Calculations!K3</f>
        <v>300 - 700</v>
      </c>
      <c r="I22" s="28" t="str">
        <f>Calculations!I3</f>
        <v>Medium (20M-60M)</v>
      </c>
      <c r="J22" s="29">
        <f>Calculations!F3</f>
        <v>46226.636400462965</v>
      </c>
    </row>
    <row r="23" spans="2:18" ht="25.05" customHeight="1" thickBot="1" x14ac:dyDescent="0.35">
      <c r="B23" s="26" t="str">
        <f>Calculations!A4</f>
        <v>GOOGL</v>
      </c>
      <c r="C23" s="27">
        <f>Calculations!B4</f>
        <v>342.09</v>
      </c>
      <c r="D23" s="27">
        <f>Calculations!C4</f>
        <v>-5.0599999999999996</v>
      </c>
      <c r="E23" s="27">
        <f>Calculations!D4</f>
        <v>-1.4576</v>
      </c>
      <c r="F23" s="27">
        <f>Calculations!E4</f>
        <v>39334140</v>
      </c>
      <c r="G23" s="27" t="str">
        <f>Calculations!G4</f>
        <v>Loss</v>
      </c>
      <c r="H23" s="27" t="str">
        <f>Calculations!K4</f>
        <v>300 - 700</v>
      </c>
      <c r="I23" s="28" t="str">
        <f>Calculations!I4</f>
        <v>Medium (20M-60M)</v>
      </c>
      <c r="J23" s="29">
        <f>Calculations!F4</f>
        <v>46226.636643518519</v>
      </c>
      <c r="L23" s="17" t="s">
        <v>0</v>
      </c>
      <c r="M23" s="17" t="s">
        <v>14</v>
      </c>
      <c r="N23" s="17" t="s">
        <v>1</v>
      </c>
      <c r="P23" s="17" t="s">
        <v>0</v>
      </c>
      <c r="Q23" s="17" t="s">
        <v>14</v>
      </c>
      <c r="R23" s="17" t="s">
        <v>1</v>
      </c>
    </row>
    <row r="24" spans="2:18" ht="25.05" customHeight="1" thickTop="1" x14ac:dyDescent="0.3">
      <c r="B24" s="26" t="str">
        <f>Calculations!A5</f>
        <v>AMZN</v>
      </c>
      <c r="C24" s="27">
        <f>Calculations!B5</f>
        <v>244.85</v>
      </c>
      <c r="D24" s="27">
        <f>Calculations!C5</f>
        <v>-2.7</v>
      </c>
      <c r="E24" s="27">
        <f>Calculations!D5</f>
        <v>-1.0907</v>
      </c>
      <c r="F24" s="27">
        <f>Calculations!E5</f>
        <v>34112732</v>
      </c>
      <c r="G24" s="27" t="str">
        <f>Calculations!G5</f>
        <v>Loss</v>
      </c>
      <c r="H24" s="27" t="str">
        <f>Calculations!K5</f>
        <v>100 - 300</v>
      </c>
      <c r="I24" s="28" t="str">
        <f>Calculations!I5</f>
        <v>Medium (20M-60M)</v>
      </c>
      <c r="J24" s="29">
        <f>Calculations!F5</f>
        <v>46226.63690972222</v>
      </c>
      <c r="L24" s="18" t="str">
        <f>INDEX(Calculations!$A$2:$A$11,MATCH(LARGE(Calculations!$D$2:$D$11,1),Calculations!$D$2:$D$11,0))</f>
        <v>NVDA</v>
      </c>
      <c r="M24" s="18">
        <f>LARGE(Calculations!$D$2:$D$11,1)</f>
        <v>2.3010999999999999</v>
      </c>
      <c r="N24" s="18">
        <f>INDEX(Calculations!$B$2:$B$11,MATCH(LARGE(Calculations!$D$2:$D$11,1),Calculations!$D$2:$D$11,0))</f>
        <v>212.06</v>
      </c>
      <c r="P24" s="18" t="str">
        <f>INDEX(Calculations!$A$2:$A$11,MATCH(SMALL(Calculations!$D$2:$D$11,1),Calculations!$D$2:$D$11,0))</f>
        <v>META</v>
      </c>
      <c r="Q24" s="18">
        <f>SMALL(Calculations!$D$2:$D$11,1)</f>
        <v>-2.5846</v>
      </c>
      <c r="R24" s="18">
        <f>INDEX(Calculations!$B$2:$B$11,MATCH(SMALL(Calculations!$D$2:$D$11,1),Calculations!$D$2:$D$11,0))</f>
        <v>627.16999999999996</v>
      </c>
    </row>
    <row r="25" spans="2:18" ht="25.05" customHeight="1" x14ac:dyDescent="0.3">
      <c r="B25" s="26" t="str">
        <f>Calculations!A6</f>
        <v>TSLA</v>
      </c>
      <c r="C25" s="27">
        <f>Calculations!B6</f>
        <v>374.01</v>
      </c>
      <c r="D25" s="27">
        <f>Calculations!C6</f>
        <v>-4.92</v>
      </c>
      <c r="E25" s="27">
        <f>Calculations!D6</f>
        <v>-1.2984</v>
      </c>
      <c r="F25" s="27">
        <f>Calculations!E6</f>
        <v>30646124</v>
      </c>
      <c r="G25" s="27" t="str">
        <f>Calculations!G6</f>
        <v>Loss</v>
      </c>
      <c r="H25" s="27" t="str">
        <f>Calculations!K6</f>
        <v>300 - 700</v>
      </c>
      <c r="I25" s="28" t="str">
        <f>Calculations!I6</f>
        <v>Medium (20M-60M)</v>
      </c>
      <c r="J25" s="29">
        <f>Calculations!F6</f>
        <v>46226.637152777781</v>
      </c>
      <c r="L25" s="19" t="str">
        <f>INDEX(Calculations!$A$2:$A$11,MATCH(LARGE(Calculations!$D$2:$D$11,2),Calculations!$D$2:$D$11,0))</f>
        <v>AMD</v>
      </c>
      <c r="M25" s="19">
        <f>LARGE(Calculations!$D$2:$D$11,2)</f>
        <v>1.4511000000000001</v>
      </c>
      <c r="N25" s="19">
        <f>INDEX(Calculations!$B$2:$B$11,MATCH(LARGE(Calculations!$D$2:$D$11,2),Calculations!$D$2:$D$11,0))</f>
        <v>552.33000000000004</v>
      </c>
      <c r="P25" s="19" t="str">
        <f>INDEX(Calculations!$A$2:$A$11,MATCH(SMALL(Calculations!$D$2:$D$11,2),Calculations!$D$2:$D$11,0))</f>
        <v>MSFT</v>
      </c>
      <c r="Q25" s="19">
        <f>SMALL(Calculations!$D$2:$D$11,2)</f>
        <v>-1.863</v>
      </c>
      <c r="R25" s="19">
        <f>INDEX(Calculations!$B$2:$B$11,MATCH(SMALL(Calculations!$D$2:$D$11,2),Calculations!$D$2:$D$11,0))</f>
        <v>390.34</v>
      </c>
    </row>
    <row r="26" spans="2:18" ht="25.05" customHeight="1" x14ac:dyDescent="0.3">
      <c r="B26" s="26" t="str">
        <f>Calculations!A7</f>
        <v>META</v>
      </c>
      <c r="C26" s="27">
        <f>Calculations!B7</f>
        <v>627.16999999999996</v>
      </c>
      <c r="D26" s="27">
        <f>Calculations!C7</f>
        <v>-16.64</v>
      </c>
      <c r="E26" s="27">
        <f>Calculations!D7</f>
        <v>-2.5846</v>
      </c>
      <c r="F26" s="27">
        <f>Calculations!E7</f>
        <v>11019559</v>
      </c>
      <c r="G26" s="27" t="str">
        <f>Calculations!G7</f>
        <v>Loss</v>
      </c>
      <c r="H26" s="27" t="str">
        <f>Calculations!K7</f>
        <v>300 - 700</v>
      </c>
      <c r="I26" s="26" t="str">
        <f>Calculations!I7</f>
        <v>Low (&lt;20M)</v>
      </c>
      <c r="J26" s="29">
        <f>Calculations!F7</f>
        <v>46226.637407407405</v>
      </c>
      <c r="L26" s="19" t="str">
        <f>INDEX(Calculations!$A$2:$A$11,MATCH(LARGE(Calculations!$D$2:$D$11,3),Calculations!$D$2:$D$11,0))</f>
        <v>ASML</v>
      </c>
      <c r="M26" s="19">
        <f>LARGE(Calculations!$D$2:$D$11,3)</f>
        <v>1.9400000000000001E-2</v>
      </c>
      <c r="N26" s="19">
        <f>INDEX(Calculations!$B$2:$B$11,MATCH(LARGE(Calculations!$D$2:$D$11,3),Calculations!$D$2:$D$11,0))</f>
        <v>1801.86</v>
      </c>
      <c r="P26" s="19" t="str">
        <f>INDEX(Calculations!$A$2:$A$11,MATCH(SMALL(Calculations!$D$2:$D$11,3),Calculations!$D$2:$D$11,0))</f>
        <v>GOOGL</v>
      </c>
      <c r="Q26" s="19">
        <f>SMALL(Calculations!$D$2:$D$11,3)</f>
        <v>-1.4576</v>
      </c>
      <c r="R26" s="19">
        <f>INDEX(Calculations!$B$2:$B$11,MATCH(SMALL(Calculations!$D$2:$D$11,3),Calculations!$D$2:$D$11,0))</f>
        <v>342.09</v>
      </c>
    </row>
    <row r="27" spans="2:18" ht="25.05" customHeight="1" x14ac:dyDescent="0.3">
      <c r="B27" s="26" t="str">
        <f>Calculations!A8</f>
        <v>NFLX</v>
      </c>
      <c r="C27" s="27">
        <f>Calculations!B8</f>
        <v>68.53</v>
      </c>
      <c r="D27" s="27">
        <f>Calculations!C8</f>
        <v>-0.14000000000000001</v>
      </c>
      <c r="E27" s="27">
        <f>Calculations!D8</f>
        <v>-0.2039</v>
      </c>
      <c r="F27" s="27">
        <f>Calculations!E8</f>
        <v>44947331</v>
      </c>
      <c r="G27" s="27" t="str">
        <f>Calculations!G8</f>
        <v>Loss</v>
      </c>
      <c r="H27" s="27" t="str">
        <f>Calculations!K8</f>
        <v>Below 100</v>
      </c>
      <c r="I27" s="26" t="str">
        <f>Calculations!I8</f>
        <v>Medium (20M-60M)</v>
      </c>
      <c r="J27" s="29">
        <f>Calculations!F8</f>
        <v>46226.637650462966</v>
      </c>
      <c r="L27" s="19" t="str">
        <f>INDEX(Calculations!$A$2:$A$11,MATCH(LARGE(Calculations!$D$2:$D$11,4),Calculations!$D$2:$D$11,0))</f>
        <v>NFLX</v>
      </c>
      <c r="M27" s="19">
        <f>LARGE(Calculations!$D$2:$D$11,4)</f>
        <v>-0.2039</v>
      </c>
      <c r="N27" s="19">
        <f>INDEX(Calculations!$B$2:$B$11,MATCH(LARGE(Calculations!$D$2:$D$11,4),Calculations!$D$2:$D$11,0))</f>
        <v>68.53</v>
      </c>
      <c r="P27" s="19" t="str">
        <f>INDEX(Calculations!$A$2:$A$11,MATCH(SMALL(Calculations!$D$2:$D$11,4),Calculations!$D$2:$D$11,0))</f>
        <v>TSLA</v>
      </c>
      <c r="Q27" s="19">
        <f>SMALL(Calculations!$D$2:$D$11,4)</f>
        <v>-1.2984</v>
      </c>
      <c r="R27" s="19">
        <f>INDEX(Calculations!$B$2:$B$11,MATCH(SMALL(Calculations!$D$2:$D$11,4),Calculations!$D$2:$D$11,0))</f>
        <v>374.01</v>
      </c>
    </row>
    <row r="28" spans="2:18" ht="25.05" customHeight="1" thickBot="1" x14ac:dyDescent="0.35">
      <c r="B28" s="26" t="str">
        <f>Calculations!A9</f>
        <v>ASML</v>
      </c>
      <c r="C28" s="27">
        <f>Calculations!B9</f>
        <v>1801.86</v>
      </c>
      <c r="D28" s="27">
        <f>Calculations!C9</f>
        <v>0.35</v>
      </c>
      <c r="E28" s="27">
        <f>Calculations!D9</f>
        <v>1.9400000000000001E-2</v>
      </c>
      <c r="F28" s="27">
        <f>Calculations!E9</f>
        <v>1007366</v>
      </c>
      <c r="G28" s="27" t="str">
        <f>Calculations!G9</f>
        <v>Gain</v>
      </c>
      <c r="H28" s="27" t="str">
        <f>Calculations!K9</f>
        <v>Above 700</v>
      </c>
      <c r="I28" s="26" t="str">
        <f>Calculations!I9</f>
        <v>Low (&lt;20M)</v>
      </c>
      <c r="J28" s="29">
        <f>Calculations!F9</f>
        <v>46226.63790509259</v>
      </c>
      <c r="L28" s="20" t="str">
        <f>INDEX(Calculations!$A$2:$A$11,MATCH(LARGE(Calculations!$D$2:$D$11,5),Calculations!$D$2:$D$11,0))</f>
        <v>AAPL</v>
      </c>
      <c r="M28" s="20">
        <f>LARGE(Calculations!$D$2:$D$11,5)</f>
        <v>-0.5645</v>
      </c>
      <c r="N28" s="20">
        <f>INDEX(Calculations!$B$2:$B$11,MATCH(LARGE(Calculations!$D$2:$D$11,5),Calculations!$D$2:$D$11,0))</f>
        <v>325.89</v>
      </c>
      <c r="P28" s="20" t="str">
        <f>INDEX(Calculations!$A$2:$A$11,MATCH(SMALL(Calculations!$D$2:$D$11,5),Calculations!$D$2:$D$11,0))</f>
        <v>AMZN</v>
      </c>
      <c r="Q28" s="20">
        <f>SMALL(Calculations!$D$2:$D$11,5)</f>
        <v>-1.0907</v>
      </c>
      <c r="R28" s="20">
        <f>INDEX(Calculations!$B$2:$B$11,MATCH(SMALL(Calculations!$D$2:$D$11,5),Calculations!$D$2:$D$11,0))</f>
        <v>244.85</v>
      </c>
    </row>
    <row r="29" spans="2:18" ht="25.05" customHeight="1" thickTop="1" x14ac:dyDescent="0.3">
      <c r="B29" s="26" t="str">
        <f>Calculations!A10</f>
        <v>NVDA</v>
      </c>
      <c r="C29" s="27">
        <f>Calculations!B10</f>
        <v>212.06</v>
      </c>
      <c r="D29" s="27">
        <f>Calculations!C10</f>
        <v>4.7699999999999996</v>
      </c>
      <c r="E29" s="27">
        <f>Calculations!D10</f>
        <v>2.3010999999999999</v>
      </c>
      <c r="F29" s="27">
        <f>Calculations!E10</f>
        <v>137645596</v>
      </c>
      <c r="G29" s="27" t="str">
        <f>Calculations!G10</f>
        <v>Gain</v>
      </c>
      <c r="H29" s="27" t="str">
        <f>Calculations!K10</f>
        <v>100 - 300</v>
      </c>
      <c r="I29" s="26" t="str">
        <f>Calculations!I10</f>
        <v>High (&gt;60M)</v>
      </c>
      <c r="J29" s="29">
        <f>Calculations!F10</f>
        <v>46226.638148148151</v>
      </c>
      <c r="L29" s="21"/>
    </row>
    <row r="30" spans="2:18" ht="25.05" customHeight="1" x14ac:dyDescent="0.3">
      <c r="B30" s="30" t="str">
        <f>Calculations!A11</f>
        <v>AMD</v>
      </c>
      <c r="C30" s="31">
        <f>Calculations!B11</f>
        <v>552.33000000000004</v>
      </c>
      <c r="D30" s="31">
        <f>Calculations!C11</f>
        <v>7.9</v>
      </c>
      <c r="E30" s="31">
        <f>Calculations!D11</f>
        <v>1.4511000000000001</v>
      </c>
      <c r="F30" s="31">
        <f>Calculations!E11</f>
        <v>24776665</v>
      </c>
      <c r="G30" s="31" t="str">
        <f>Calculations!G11</f>
        <v>Gain</v>
      </c>
      <c r="H30" s="31" t="str">
        <f>Calculations!K11</f>
        <v>300 - 700</v>
      </c>
      <c r="I30" s="30" t="str">
        <f>Calculations!I11</f>
        <v>Medium (20M-60M)</v>
      </c>
      <c r="J30" s="32">
        <f>Calculations!F11</f>
        <v>46226.638402777775</v>
      </c>
    </row>
    <row r="31" spans="2:18" ht="25.05" customHeight="1" x14ac:dyDescent="0.3"/>
    <row r="32" spans="2:18" ht="25.05" customHeight="1" x14ac:dyDescent="0.3"/>
    <row r="33" ht="25.05" customHeight="1" x14ac:dyDescent="0.3"/>
    <row r="34" ht="25.05" customHeight="1" x14ac:dyDescent="0.3"/>
    <row r="35" ht="25.05" customHeight="1" x14ac:dyDescent="0.3"/>
    <row r="36" ht="25.05" customHeight="1" x14ac:dyDescent="0.3"/>
    <row r="37" ht="25.05" customHeight="1" x14ac:dyDescent="0.3"/>
    <row r="38" ht="25.05" customHeight="1" x14ac:dyDescent="0.3"/>
    <row r="39" ht="25.05" customHeight="1" x14ac:dyDescent="0.3"/>
    <row r="40" ht="25.05" customHeight="1" x14ac:dyDescent="0.3"/>
    <row r="41" ht="25.05" customHeight="1" x14ac:dyDescent="0.3"/>
    <row r="42" ht="25.05" customHeight="1" x14ac:dyDescent="0.3"/>
    <row r="43" ht="25.05" customHeight="1" x14ac:dyDescent="0.3"/>
    <row r="44" ht="25.05" customHeight="1" x14ac:dyDescent="0.3"/>
    <row r="45" ht="25.05" customHeight="1" x14ac:dyDescent="0.3"/>
    <row r="46" ht="25.05" customHeight="1" x14ac:dyDescent="0.3"/>
    <row r="47" ht="25.05" customHeight="1" x14ac:dyDescent="0.3"/>
    <row r="48" ht="25.05" customHeight="1" x14ac:dyDescent="0.3"/>
    <row r="49" ht="25.05" customHeight="1" x14ac:dyDescent="0.3"/>
    <row r="50" ht="25.05" customHeight="1" x14ac:dyDescent="0.3"/>
  </sheetData>
  <conditionalFormatting sqref="F21:F30">
    <cfRule type="dataBar" priority="8">
      <dataBar>
        <cfvo type="min"/>
        <cfvo type="max"/>
        <color rgb="FF638EC6"/>
      </dataBar>
      <extLst>
        <ext xmlns:x14="http://schemas.microsoft.com/office/spreadsheetml/2009/9/main" uri="{B025F937-C7B1-47D3-B67F-A62EFF666E3E}">
          <x14:id>{4D19509A-2293-414A-BD9D-EDDCDF88E46B}</x14:id>
        </ext>
      </extLst>
    </cfRule>
  </conditionalFormatting>
  <conditionalFormatting sqref="G21:G30">
    <cfRule type="colorScale" priority="1">
      <colorScale>
        <cfvo type="min"/>
        <cfvo type="percentile" val="50"/>
        <cfvo type="max"/>
        <color rgb="FF63BE7B"/>
        <color rgb="FFFFEB84"/>
        <color rgb="FFF8696B"/>
      </colorScale>
    </cfRule>
    <cfRule type="colorScale" priority="2">
      <colorScale>
        <cfvo type="min"/>
        <cfvo type="max"/>
        <color rgb="FF63BE7B"/>
        <color rgb="FFFCFCFF"/>
      </colorScale>
    </cfRule>
    <cfRule type="uniqueValues" dxfId="3" priority="9"/>
  </conditionalFormatting>
  <conditionalFormatting sqref="I21:I30">
    <cfRule type="containsText" dxfId="2" priority="3" stopIfTrue="1" operator="containsText" text="Medium">
      <formula>NOT(ISERROR(SEARCH("Medium",I21)))</formula>
    </cfRule>
    <cfRule type="containsText" dxfId="1" priority="4" stopIfTrue="1" operator="containsText" text="High">
      <formula>NOT(ISERROR(SEARCH("High",I21)))</formula>
    </cfRule>
    <cfRule type="containsText" dxfId="0" priority="5" stopIfTrue="1" operator="containsText" text="Low">
      <formula>NOT(ISERROR(SEARCH("Low",I21)))</formula>
    </cfRule>
    <cfRule type="colorScale" priority="6">
      <colorScale>
        <cfvo type="min"/>
        <cfvo type="max"/>
        <color rgb="FFFF7128"/>
        <color rgb="FFFFEF9C"/>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D19509A-2293-414A-BD9D-EDDCDF88E46B}">
            <x14:dataBar minLength="0" maxLength="100" gradient="0">
              <x14:cfvo type="autoMin"/>
              <x14:cfvo type="autoMax"/>
              <x14:negativeFillColor rgb="FFFF0000"/>
              <x14:axisColor rgb="FF000000"/>
            </x14:dataBar>
          </x14:cfRule>
          <xm:sqref>F21:F30</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6117BC-B211-438F-8EC2-E641F61BEC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Calculations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Anushka Yadav</dc:creator>
  <cp:lastModifiedBy>Anushka Yadav</cp:lastModifiedBy>
  <dcterms:created xsi:type="dcterms:W3CDTF">2026-07-22T17:22:05Z</dcterms:created>
  <dcterms:modified xsi:type="dcterms:W3CDTF">2026-07-24T11:16:17Z</dcterms:modified>
</cp:coreProperties>
</file>